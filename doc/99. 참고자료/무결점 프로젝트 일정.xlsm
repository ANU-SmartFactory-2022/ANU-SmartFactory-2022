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af2455916749499e" Type="http://schemas.microsoft.com/office/2006/relationships/ui/extensibility" Target="customUI/customUI.xml"/><Relationship Id="rId1" Type="http://schemas.openxmlformats.org/officeDocument/2006/relationships/officeDocument" Target="xl/workbook.xml"/><Relationship Id="rId6" Type="http://schemas.openxmlformats.org/officeDocument/2006/relationships/extended-properties" Target="docProps/app.xml"/><Relationship Id="rId5" Type="http://schemas.openxmlformats.org/package/2006/relationships/metadata/core-properties" Target="docProps/core.xml"/><Relationship Id="rId4" Type="http://schemas.microsoft.com/office/2006/relationships/ui/userCustomization" Target="NUL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AE6600E7-7A62-396C-DE95-9942FA9DD81E}"/>
  <workbookPr codeName="ThisWorkbook"/>
  <mc:AlternateContent xmlns:mc="http://schemas.openxmlformats.org/markup-compatibility/2006">
    <mc:Choice Requires="x15">
      <x15ac:absPath xmlns:x15ac="http://schemas.microsoft.com/office/spreadsheetml/2010/11/ac" url="C:\Users\Admin\Documents\GitHub\ANU-SmartFactory-2022\doc\99. 참고자료\"/>
    </mc:Choice>
  </mc:AlternateContent>
  <bookViews>
    <workbookView xWindow="-120" yWindow="-120" windowWidth="29040" windowHeight="15720" tabRatio="535" firstSheet="3" activeTab="3"/>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externalReferences>
    <externalReference r:id="rId8"/>
  </externalReferences>
  <definedNames>
    <definedName name="_xlnm._FilterDatabase" localSheetId="3" hidden="1">Schedule!$M$3:$AB$23</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AD5" i="2" l="1"/>
  <c r="AK5" i="2"/>
  <c r="AE6" i="2"/>
  <c r="AD7" i="2"/>
  <c r="AE8" i="2"/>
  <c r="AE9" i="2"/>
  <c r="AE10" i="2"/>
  <c r="AI10" i="2"/>
  <c r="AE11" i="2"/>
  <c r="AI11" i="2"/>
  <c r="AE12" i="2"/>
  <c r="AI12" i="2"/>
  <c r="AE13" i="2"/>
  <c r="AI13" i="2"/>
  <c r="AE14" i="2"/>
  <c r="AI14" i="2"/>
  <c r="AE15" i="2"/>
  <c r="AI15" i="2"/>
  <c r="AE16" i="2"/>
  <c r="AI16" i="2"/>
  <c r="AE17" i="2"/>
  <c r="AI17" i="2"/>
  <c r="AI19" i="2"/>
  <c r="AI20" i="2"/>
  <c r="AJ22" i="2"/>
  <c r="AJ23" i="2"/>
  <c r="D29" i="4" l="1"/>
  <c r="E7" i="4"/>
  <c r="F7" i="4" s="1"/>
  <c r="H121" i="8"/>
  <c r="E8" i="4" l="1"/>
  <c r="F8" i="4" s="1"/>
  <c r="E9"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E10" i="4" l="1"/>
  <c r="F9" i="4"/>
  <c r="B24" i="3"/>
  <c r="AB2" i="2"/>
  <c r="D1" i="2"/>
  <c r="AB1" i="2"/>
  <c r="E11" i="4" l="1"/>
  <c r="F10" i="4"/>
  <c r="F11" i="4" l="1"/>
  <c r="E12" i="4"/>
  <c r="F12" i="4" l="1"/>
  <c r="E13" i="4"/>
  <c r="E14" i="4" l="1"/>
  <c r="F13" i="4"/>
  <c r="E15" i="4" l="1"/>
  <c r="F14" i="4"/>
  <c r="F15" i="4" l="1"/>
  <c r="E16" i="4"/>
  <c r="F16" i="4" l="1"/>
  <c r="E17" i="4"/>
  <c r="E18" i="4" l="1"/>
  <c r="F17" i="4"/>
  <c r="E19" i="4" l="1"/>
  <c r="F18" i="4"/>
  <c r="F19" i="4" l="1"/>
  <c r="E20" i="4"/>
  <c r="F20" i="4" l="1"/>
  <c r="E21" i="4"/>
  <c r="E22" i="4" l="1"/>
  <c r="F21" i="4"/>
  <c r="E23" i="4" l="1"/>
  <c r="F22" i="4"/>
  <c r="F23" i="4" l="1"/>
  <c r="E24" i="4"/>
  <c r="F24" i="4" l="1"/>
  <c r="E25" i="4"/>
  <c r="E26" i="4" l="1"/>
  <c r="F25" i="4"/>
  <c r="E27" i="4" l="1"/>
  <c r="F26" i="4"/>
  <c r="F27" i="4" l="1"/>
  <c r="E28" i="4"/>
  <c r="F28" i="4" s="1"/>
</calcChain>
</file>

<file path=xl/sharedStrings.xml><?xml version="1.0" encoding="utf-8"?>
<sst xmlns="http://schemas.openxmlformats.org/spreadsheetml/2006/main" count="1512" uniqueCount="1165">
  <si>
    <t>ITEM</t>
    <phoneticPr fontId="5" type="noConversion"/>
  </si>
  <si>
    <t>VALUE1</t>
    <phoneticPr fontId="5" type="noConversion"/>
  </si>
  <si>
    <t>VALUE2</t>
    <phoneticPr fontId="5" type="noConversion"/>
  </si>
  <si>
    <t>VALUE3</t>
  </si>
  <si>
    <t>INSERTED_DATE</t>
    <phoneticPr fontId="5" type="noConversion"/>
  </si>
  <si>
    <t>UPDATED_DATE</t>
    <phoneticPr fontId="5" type="noConversion"/>
  </si>
  <si>
    <t>COMPANY</t>
    <phoneticPr fontId="5" type="noConversion"/>
  </si>
  <si>
    <t>XLWorks</t>
    <phoneticPr fontId="5" type="noConversion"/>
  </si>
  <si>
    <t>DO NOT UPDATE</t>
    <phoneticPr fontId="5" type="noConversion"/>
  </si>
  <si>
    <t>AUTHOR_NAME</t>
    <phoneticPr fontId="5" type="noConversion"/>
  </si>
  <si>
    <t>AUTHOR_EMAIL</t>
    <phoneticPr fontId="5" type="noConversion"/>
  </si>
  <si>
    <t>admin@xlworks.net</t>
    <phoneticPr fontId="5" type="noConversion"/>
  </si>
  <si>
    <t>PROGRAM_NAME</t>
    <phoneticPr fontId="5" type="noConversion"/>
  </si>
  <si>
    <t>XLGantt</t>
  </si>
  <si>
    <t>PROGRAM_SITE</t>
    <phoneticPr fontId="5" type="noConversion"/>
  </si>
  <si>
    <t>http://xlworks.net</t>
    <phoneticPr fontId="5" type="noConversion"/>
  </si>
  <si>
    <t>PROGRAM_SITE_DISP</t>
    <phoneticPr fontId="5" type="noConversion"/>
  </si>
  <si>
    <t>VERSION</t>
    <phoneticPr fontId="5" type="noConversion"/>
  </si>
  <si>
    <t>2.1.0</t>
    <phoneticPr fontId="2" type="noConversion"/>
  </si>
  <si>
    <t>{"TASK_FIRST_COL":"5","START_ROW":"5","WBS_AREA_LAST_COL":"28"}</t>
    <phoneticPr fontId="5" type="noConversion"/>
  </si>
  <si>
    <t>RELEASE_DATE</t>
    <phoneticPr fontId="5" type="noConversion"/>
  </si>
  <si>
    <t>LICENSE</t>
    <phoneticPr fontId="5" type="noConversion"/>
  </si>
  <si>
    <t>Freeware</t>
    <phoneticPr fontId="5" type="noConversion"/>
  </si>
  <si>
    <t>OPTIONS_GENERAL</t>
    <phoneticPr fontId="2" type="noConversion"/>
  </si>
  <si>
    <t>Name:projectName</t>
  </si>
  <si>
    <t>Name:isConfirmedProjectBasicInfo</t>
  </si>
  <si>
    <t>Name:projectStartDate</t>
  </si>
  <si>
    <t>Name:projectEndDate</t>
  </si>
  <si>
    <t>Name:scheduleSheetPosition</t>
  </si>
  <si>
    <t>SCHEDULE_SHEET_POSITION:3545121314151617181920212223242526272829</t>
    <phoneticPr fontId="2" type="noConversion"/>
  </si>
  <si>
    <t>Name:setTaskDateToProjectDate</t>
  </si>
  <si>
    <t>Name:optScheduleChangeMgt</t>
  </si>
  <si>
    <t>Name:optPlanRateCriteriaDate</t>
  </si>
  <si>
    <t>TODAY</t>
    <phoneticPr fontId="2" type="noConversion"/>
  </si>
  <si>
    <t>Name:optFirstDayOfWeek</t>
  </si>
  <si>
    <t>Name:chkWBSUpdateExecuteYN</t>
  </si>
  <si>
    <t>Name:chkCheckForUpdatesOnStartup</t>
  </si>
  <si>
    <t>Name:optNonWorkingDays</t>
  </si>
  <si>
    <t>OPTIONS_WBS_GANTT</t>
    <phoneticPr fontId="2" type="noConversion"/>
  </si>
  <si>
    <t>Name:completeTaskGrayDisplay</t>
  </si>
  <si>
    <t>Name:taskDispInGroup</t>
  </si>
  <si>
    <t>Name:taskDispInSub</t>
  </si>
  <si>
    <t>Name:dateDisp</t>
  </si>
  <si>
    <t>Name:ganttColWidth</t>
  </si>
  <si>
    <t>Name:taskNameDisplayPosition</t>
  </si>
  <si>
    <t>Name:actualRateDisp</t>
  </si>
  <si>
    <t>Name:groupTaskInteriorGrayDisplay</t>
  </si>
  <si>
    <t>Name:optGanttChartColumnDisplay</t>
  </si>
  <si>
    <t>Name:applyUserInputFirst</t>
  </si>
  <si>
    <t>Name:txtGanttChartZoomRatio</t>
  </si>
  <si>
    <t>Name:plannedRateDisp</t>
  </si>
  <si>
    <t>Name:resourceDisp</t>
  </si>
  <si>
    <t>Name:taskDisp</t>
  </si>
  <si>
    <t>Name:groupRows</t>
  </si>
  <si>
    <t>OPTIONS_DELIVERABLES_MGT</t>
    <phoneticPr fontId="2" type="noConversion"/>
  </si>
  <si>
    <t>Name:chkDeliverablesMgt</t>
    <phoneticPr fontId="5" type="noConversion"/>
  </si>
  <si>
    <t>Name:savePathType</t>
    <phoneticPr fontId="5" type="noConversion"/>
  </si>
  <si>
    <t>DEFINED</t>
    <phoneticPr fontId="5" type="noConversion"/>
  </si>
  <si>
    <t>Name:txtDefinedPath</t>
    <phoneticPr fontId="5" type="noConversion"/>
  </si>
  <si>
    <t>C:\Temp</t>
    <phoneticPr fontId="5" type="noConversion"/>
  </si>
  <si>
    <t>Name:txtAutoDefinedBasePath</t>
    <phoneticPr fontId="5" type="noConversion"/>
  </si>
  <si>
    <t>OPTIONS_DELIVERABLES_PGM_PATH</t>
    <phoneticPr fontId="2" type="noConversion"/>
  </si>
  <si>
    <t>Name:txtPgmName1</t>
    <phoneticPr fontId="5" type="noConversion"/>
  </si>
  <si>
    <t>파워포인트</t>
    <phoneticPr fontId="5" type="noConversion"/>
  </si>
  <si>
    <t>Name:txtFileExt1</t>
  </si>
  <si>
    <t>ppt*</t>
    <phoneticPr fontId="5" type="noConversion"/>
  </si>
  <si>
    <t>Name:txtPgmPath1</t>
    <phoneticPr fontId="5" type="noConversion"/>
  </si>
  <si>
    <t>자동지정</t>
    <phoneticPr fontId="5" type="noConversion"/>
  </si>
  <si>
    <t>Name:chkInclude2SelectList1</t>
    <phoneticPr fontId="5" type="noConversion"/>
  </si>
  <si>
    <t>Name:txtPgmName2</t>
    <phoneticPr fontId="5" type="noConversion"/>
  </si>
  <si>
    <t>워드</t>
    <phoneticPr fontId="5" type="noConversion"/>
  </si>
  <si>
    <t>Name:txtFileExt2</t>
    <phoneticPr fontId="5" type="noConversion"/>
  </si>
  <si>
    <t>doc*</t>
    <phoneticPr fontId="5" type="noConversion"/>
  </si>
  <si>
    <t>Name:txtPgmPath2</t>
    <phoneticPr fontId="5" type="noConversion"/>
  </si>
  <si>
    <t>Name:chkInclude2SelectList2</t>
    <phoneticPr fontId="5" type="noConversion"/>
  </si>
  <si>
    <t>Name:txtPgmName3</t>
    <phoneticPr fontId="5" type="noConversion"/>
  </si>
  <si>
    <t>엑셀</t>
    <phoneticPr fontId="5" type="noConversion"/>
  </si>
  <si>
    <t>Name:txtFileExt3</t>
    <phoneticPr fontId="5" type="noConversion"/>
  </si>
  <si>
    <t>xls*</t>
    <phoneticPr fontId="5" type="noConversion"/>
  </si>
  <si>
    <t>Name:txtPgmPath3</t>
    <phoneticPr fontId="5" type="noConversion"/>
  </si>
  <si>
    <t>Name:chkInclude2SelectList3</t>
    <phoneticPr fontId="5" type="noConversion"/>
  </si>
  <si>
    <t>Name:txtPgmName4</t>
    <phoneticPr fontId="5" type="noConversion"/>
  </si>
  <si>
    <t>Auto CAD</t>
    <phoneticPr fontId="5" type="noConversion"/>
  </si>
  <si>
    <t>Name:txtFileExt4</t>
    <phoneticPr fontId="5" type="noConversion"/>
  </si>
  <si>
    <t>cad</t>
    <phoneticPr fontId="5" type="noConversion"/>
  </si>
  <si>
    <t>Name:txtPgmPath4</t>
    <phoneticPr fontId="5" type="noConversion"/>
  </si>
  <si>
    <t>c:\cad\cad\cad.exe</t>
    <phoneticPr fontId="5" type="noConversion"/>
  </si>
  <si>
    <t>Name:chkInclude2SelectList4</t>
    <phoneticPr fontId="5" type="noConversion"/>
  </si>
  <si>
    <t>Name:txtPgmName5</t>
    <phoneticPr fontId="5" type="noConversion"/>
  </si>
  <si>
    <t>아크로에디터</t>
    <phoneticPr fontId="5" type="noConversion"/>
  </si>
  <si>
    <t>Name:txtFileExt5</t>
    <phoneticPr fontId="5" type="noConversion"/>
  </si>
  <si>
    <t>ace</t>
    <phoneticPr fontId="5" type="noConversion"/>
  </si>
  <si>
    <t>Name:txtPgmPath5</t>
    <phoneticPr fontId="5" type="noConversion"/>
  </si>
  <si>
    <t>c:\ace\aaa.exe</t>
    <phoneticPr fontId="5" type="noConversion"/>
  </si>
  <si>
    <t>Name:chkInclude2SelectList5</t>
    <phoneticPr fontId="5" type="noConversion"/>
  </si>
  <si>
    <t>Name:txtPgmName6</t>
  </si>
  <si>
    <t>메모장</t>
    <phoneticPr fontId="5" type="noConversion"/>
  </si>
  <si>
    <t>Name:txtFileExt6</t>
  </si>
  <si>
    <t>txt</t>
    <phoneticPr fontId="5" type="noConversion"/>
  </si>
  <si>
    <t>Name:txtPgmPath6</t>
  </si>
  <si>
    <t>C:\WINDOWS\system32\notepad.exe</t>
    <phoneticPr fontId="5" type="noConversion"/>
  </si>
  <si>
    <t>Name:chkInclude2SelectList6</t>
  </si>
  <si>
    <t>Name:txtPgmName7</t>
  </si>
  <si>
    <t>Name:txtFileExt7</t>
  </si>
  <si>
    <t>Name:txtPgmPath7</t>
  </si>
  <si>
    <t>Name:chkInclude2SelectList7</t>
  </si>
  <si>
    <t>Name:txtPgmName8</t>
  </si>
  <si>
    <t>Name:txtFileExt8</t>
  </si>
  <si>
    <t>Name:txtPgmPath8</t>
  </si>
  <si>
    <t>Name:chkInclude2SelectList8</t>
  </si>
  <si>
    <t>OPTIONS_LANGUAGE</t>
    <phoneticPr fontId="2" type="noConversion"/>
  </si>
  <si>
    <t>Name:languageSelectionType</t>
  </si>
  <si>
    <t>Name:languageSelectedByManual</t>
  </si>
  <si>
    <t>Name:selectedLanguageList</t>
  </si>
  <si>
    <t>1:English,82:Korean</t>
    <phoneticPr fontId="2" type="noConversion"/>
  </si>
  <si>
    <t>Name:lastTranslatedLanguage</t>
  </si>
  <si>
    <t>Reserved</t>
    <phoneticPr fontId="5" type="noConversion"/>
  </si>
  <si>
    <t>Text Index</t>
    <phoneticPr fontId="5" type="noConversion"/>
  </si>
  <si>
    <t>Description</t>
    <phoneticPr fontId="5" type="noConversion"/>
  </si>
  <si>
    <t>English</t>
  </si>
  <si>
    <t>Korean</t>
  </si>
  <si>
    <t>E</t>
    <phoneticPr fontId="2"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</si>
  <si>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</si>
  <si>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</si>
  <si>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</si>
  <si>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</si>
  <si>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</si>
  <si>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</si>
  <si>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</si>
  <si>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</si>
  <si>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t>* You can import  files created in XLGantt._x000D_
* You can import files if the version is 0.9.7 or higher than 0.9.7_x000D_
* You can import up to 10,000 records._x000D_
* You can import multiple files simultaneously.</t>
    <phoneticPr fontId="2" type="noConversion"/>
  </si>
  <si>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</si>
  <si>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</si>
  <si>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</si>
  <si>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t>Saturdays, Sundays and the dates entered in the Calendar sheet_x000D_</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</si>
  <si>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</si>
  <si>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 xml:space="preserve">              From                      To</t>
  </si>
  <si>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</si>
  <si>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t xml:space="preserve">           Field Name         Example</t>
  </si>
  <si>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</si>
  <si>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t xml:space="preserve">       Field Name           Field Value</t>
  </si>
  <si>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</si>
  <si>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t xml:space="preserve"> Mapped</t>
  </si>
  <si>
    <r>
      <t xml:space="preserve"> Mapping</t>
    </r>
    <r>
      <rPr>
        <sz val="9"/>
        <color theme="1"/>
        <rFont val="맑은 고딕"/>
        <family val="2"/>
      </rPr>
      <t>된</t>
    </r>
    <r>
      <rPr>
        <sz val="9"/>
        <color theme="1"/>
        <rFont val="Calibri"/>
        <family val="2"/>
      </rPr>
      <t xml:space="preserve"> </t>
    </r>
    <r>
      <rPr>
        <sz val="9"/>
        <color theme="1"/>
        <rFont val="맑은 고딕"/>
        <family val="2"/>
      </rPr>
      <t>상태</t>
    </r>
  </si>
  <si>
    <t xml:space="preserve"> Setting nonworking days in the project calendar</t>
  </si>
  <si>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</si>
  <si>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t>"%Work Complete" is invalid. Type a number between 0% and 100%.</t>
  </si>
  <si>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</si>
  <si>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t>"Outline level"(task Level) field. It displays the level of a task.Instead of "Outline level", you can use "WBS".</t>
  </si>
  <si>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</si>
  <si>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t>"WBS"(Work Breakdown Structure) field. It displays the level of a task. Instead of WBS, you can use "Outline level".</t>
  </si>
  <si>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</si>
  <si>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t>%Work Complete</t>
  </si>
  <si>
    <r>
      <rPr>
        <sz val="9"/>
        <color theme="1"/>
        <rFont val="맑은 고딕"/>
        <family val="2"/>
      </rPr>
      <t>실적진척율</t>
    </r>
  </si>
  <si>
    <t>%Work Complete(B)</t>
  </si>
  <si>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</si>
  <si>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t>%Work Complete(C/A)</t>
  </si>
  <si>
    <r>
      <rPr>
        <sz val="9"/>
        <color theme="1"/>
        <rFont val="맑은 고딕"/>
        <family val="2"/>
      </rPr>
      <t>실적</t>
    </r>
    <r>
      <rPr>
        <sz val="9"/>
        <color theme="1"/>
        <rFont val="Calibri"/>
        <family val="2"/>
      </rPr>
      <t>(C/A)</t>
    </r>
  </si>
  <si>
    <t>for import columun</t>
    <phoneticPr fontId="5" type="noConversion"/>
  </si>
  <si>
    <t>%Work__Complete</t>
    <phoneticPr fontId="5" type="noConversion"/>
  </si>
  <si>
    <r>
      <rPr>
        <sz val="9"/>
        <color theme="1"/>
        <rFont val="돋움"/>
        <family val="3"/>
        <charset val="129"/>
      </rPr>
      <t>실적</t>
    </r>
  </si>
  <si>
    <t>%Work\nComplete</t>
  </si>
  <si>
    <r>
      <rPr>
        <sz val="9"/>
        <color theme="1"/>
        <rFont val="맑은 고딕"/>
        <family val="2"/>
      </rPr>
      <t>실적</t>
    </r>
  </si>
  <si>
    <t>* Automactically calulated if you click the "Update Schedule" button</t>
  </si>
  <si>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</si>
  <si>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t>* Choose a language</t>
  </si>
  <si>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</si>
  <si>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t>* Common Excel file, Not XLGantt file\n   (First row is title,from second rows are contents)\n* You can import only one file at once.</t>
  </si>
  <si>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</si>
  <si>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t>* This sheet shows you planned project progresses by weeks.</t>
  </si>
  <si>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</si>
  <si>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t>* This sheet shows you tasks, workloads, progresses(%Work complete), etc by resources.</t>
  </si>
  <si>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</si>
  <si>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t>* This sheet shows you workload allocations by resources.</t>
  </si>
  <si>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</si>
  <si>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t>* This sheet shows you workload allocations by weeks or months.</t>
  </si>
  <si>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</si>
  <si>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t>* This sheet shows you workload and %Work complete.</t>
  </si>
  <si>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</si>
  <si>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t>* You need to click the "Planned Progress" button to update the contents.</t>
  </si>
  <si>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</si>
  <si>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t>* You need to click the "Progresses by Resources" button to update contents.</t>
  </si>
  <si>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</si>
  <si>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t>* You need to click the "Workloads by Resources" button to update the contents.</t>
  </si>
  <si>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</si>
  <si>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t>* You need to click the "Workloads by Weeks" or "Workloads by Months" button to update the contents.</t>
  </si>
  <si>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</si>
  <si>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t>[Resources unspecified]</t>
  </si>
  <si>
    <r>
      <t>[</t>
    </r>
    <r>
      <rPr>
        <sz val="9"/>
        <color theme="1"/>
        <rFont val="맑은 고딕"/>
        <family val="2"/>
      </rPr>
      <t>담당자미지정</t>
    </r>
    <r>
      <rPr>
        <sz val="9"/>
        <color theme="1"/>
        <rFont val="Calibri"/>
        <family val="2"/>
      </rPr>
      <t>]</t>
    </r>
  </si>
  <si>
    <t>{} "Outlook Appointment(s)" have been added.</t>
  </si>
  <si>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</si>
  <si>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t>{} "Outlook Task(s)" have been added.</t>
  </si>
  <si>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</si>
  <si>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t>{} file does not exist.</t>
  </si>
  <si>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</si>
  <si>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t>&lt;&lt; Remove</t>
  </si>
  <si>
    <r>
      <t xml:space="preserve">&lt;&lt; </t>
    </r>
    <r>
      <rPr>
        <sz val="9"/>
        <color theme="1"/>
        <rFont val="맑은 고딕"/>
        <family val="2"/>
      </rPr>
      <t>제거</t>
    </r>
  </si>
  <si>
    <t>&lt;&lt; Unmap</t>
  </si>
  <si>
    <r>
      <t>&lt;&lt; Mapping</t>
    </r>
    <r>
      <rPr>
        <sz val="9"/>
        <color theme="1"/>
        <rFont val="맑은 고딕"/>
        <family val="2"/>
      </rPr>
      <t>취소</t>
    </r>
  </si>
  <si>
    <t>12/1/2018</t>
  </si>
  <si>
    <t>12/31/2018</t>
  </si>
  <si>
    <t>About</t>
  </si>
  <si>
    <t>Accumulated\nMan-Day</t>
  </si>
  <si>
    <r>
      <rPr>
        <sz val="9"/>
        <color theme="1"/>
        <rFont val="맑은 고딕"/>
        <family val="2"/>
      </rPr>
      <t>누적</t>
    </r>
    <r>
      <rPr>
        <sz val="9"/>
        <color theme="1"/>
        <rFont val="Calibri"/>
        <family val="2"/>
      </rPr>
      <t>\nMan-Day</t>
    </r>
  </si>
  <si>
    <t>manual input</t>
    <phoneticPr fontId="2" type="noConversion"/>
  </si>
  <si>
    <t>Actual</t>
    <phoneticPr fontId="2" type="noConversion"/>
  </si>
  <si>
    <t>실적</t>
    <phoneticPr fontId="2" type="noConversion"/>
  </si>
  <si>
    <t>Actual %Complete is invalid. Enter a number only. Verify row {} of the source file.</t>
  </si>
  <si>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</si>
  <si>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t>Actual %Work Complete from the start date to the current date</t>
  </si>
  <si>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</si>
  <si>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t>Actual Finish</t>
  </si>
  <si>
    <r>
      <rPr>
        <sz val="9"/>
        <color theme="1"/>
        <rFont val="맑은 고딕"/>
        <family val="2"/>
      </rPr>
      <t>실제완료일</t>
    </r>
  </si>
  <si>
    <t>Actual Finish Date</t>
  </si>
  <si>
    <r>
      <rPr>
        <sz val="9"/>
        <color theme="1"/>
        <rFont val="맑은 고딕"/>
        <family val="2"/>
      </rPr>
      <t>실제완료일자</t>
    </r>
  </si>
  <si>
    <t>Actual finish date field of a task. It must be in date format.</t>
  </si>
  <si>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</si>
  <si>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t>Actual finish date is invalid.</t>
  </si>
  <si>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</si>
  <si>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t>Actual finish date is invalid. Verify row {} of the source file.</t>
  </si>
  <si>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</si>
  <si>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t>Actual progress rate(%Work Complete) field.</t>
  </si>
  <si>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</si>
  <si>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t>Actual Start</t>
  </si>
  <si>
    <r>
      <rPr>
        <sz val="9"/>
        <color theme="1"/>
        <rFont val="맑은 고딕"/>
        <family val="2"/>
      </rPr>
      <t>실제시작일</t>
    </r>
  </si>
  <si>
    <t>Actual Start Date</t>
  </si>
  <si>
    <r>
      <rPr>
        <sz val="9"/>
        <color theme="1"/>
        <rFont val="맑은 고딕"/>
        <family val="2"/>
      </rPr>
      <t>실제시작일자</t>
    </r>
  </si>
  <si>
    <t>Actual start date field of a task. It must be in date format.</t>
  </si>
  <si>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</si>
  <si>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t>Actual start date is invalid.</t>
  </si>
  <si>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</si>
  <si>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t>Actual start date is invalid. Verify row {} of the source file.</t>
  </si>
  <si>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</si>
  <si>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t>Actual Total Work\nMan-day</t>
  </si>
  <si>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</si>
  <si>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t>Actual Total__Duration</t>
    <phoneticPr fontId="5"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</si>
  <si>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5" type="noConversion"/>
  </si>
  <si>
    <t>Actual Total\nDuration</t>
  </si>
  <si>
    <r>
      <t>실제</t>
    </r>
    <r>
      <rPr>
        <sz val="10"/>
        <color theme="1"/>
        <rFont val="Calibri"/>
        <family val="2"/>
      </rPr>
      <t>\n</t>
    </r>
    <r>
      <rPr>
        <sz val="10"/>
        <color theme="1"/>
        <rFont val="돋움"/>
        <family val="3"/>
        <charset val="129"/>
      </rPr>
      <t>총기간</t>
    </r>
  </si>
  <si>
    <t>Actual Total\nWork(Total\nManDay)</t>
  </si>
  <si>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5" type="noConversion"/>
  </si>
  <si>
    <t>Actual__Finish</t>
    <phoneticPr fontId="5"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</si>
  <si>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5" type="noConversion"/>
  </si>
  <si>
    <t>Actual__Start</t>
    <phoneticPr fontId="5"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</si>
  <si>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5" type="noConversion"/>
  </si>
  <si>
    <t>Actual__Total Duration</t>
    <phoneticPr fontId="5"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</si>
  <si>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5" type="noConversion"/>
  </si>
  <si>
    <t>Actual__Total Work</t>
    <phoneticPr fontId="5"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</si>
  <si>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5" type="noConversion"/>
  </si>
  <si>
    <t>Actual\nFinish</t>
  </si>
  <si>
    <r>
      <rPr>
        <sz val="9"/>
        <color theme="1"/>
        <rFont val="맑은 고딕"/>
        <family val="2"/>
      </rPr>
      <t>실제</t>
    </r>
    <r>
      <rPr>
        <sz val="9"/>
        <color theme="1"/>
        <rFont val="Calibri"/>
        <family val="2"/>
      </rPr>
      <t>\n</t>
    </r>
    <r>
      <rPr>
        <sz val="9"/>
        <color theme="1"/>
        <rFont val="맑은 고딕"/>
        <family val="2"/>
      </rPr>
      <t>완료일</t>
    </r>
    <phoneticPr fontId="2" type="noConversion"/>
  </si>
  <si>
    <t>Actual\nStart</t>
  </si>
  <si>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</si>
  <si>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</si>
  <si>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</si>
  <si>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t>Actual\nTotal Duration</t>
  </si>
  <si>
    <r>
      <rPr>
        <sz val="9"/>
        <color theme="1"/>
        <rFont val="맑은 고딕"/>
        <family val="2"/>
      </rPr>
      <t>실제</t>
    </r>
    <r>
      <rPr>
        <sz val="9"/>
        <color theme="1"/>
        <rFont val="Calibri"/>
        <family val="2"/>
      </rPr>
      <t>\n</t>
    </r>
    <r>
      <rPr>
        <sz val="9"/>
        <color theme="1"/>
        <rFont val="맑은 고딕"/>
        <family val="2"/>
      </rPr>
      <t>총기간</t>
    </r>
    <phoneticPr fontId="2" type="noConversion"/>
  </si>
  <si>
    <t>Actual\nTotal Work</t>
  </si>
  <si>
    <r>
      <rPr>
        <sz val="9"/>
        <color theme="1"/>
        <rFont val="맑은 고딕"/>
        <family val="2"/>
      </rPr>
      <t>실제</t>
    </r>
    <r>
      <rPr>
        <sz val="9"/>
        <color theme="1"/>
        <rFont val="Calibri"/>
        <family val="2"/>
      </rPr>
      <t>\n</t>
    </r>
    <r>
      <rPr>
        <sz val="9"/>
        <color theme="1"/>
        <rFont val="맑은 고딕"/>
        <family val="2"/>
      </rPr>
      <t>총작업량</t>
    </r>
  </si>
  <si>
    <t>Actually performed workload</t>
  </si>
  <si>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</si>
  <si>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t>Actually Performed workload when managing schedule changes</t>
  </si>
  <si>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</si>
  <si>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t>Actually performed workload when not managing schedule changes(Total Duration x %Work Complete)</t>
  </si>
  <si>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</si>
  <si>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t>Add &gt;&gt;</t>
  </si>
  <si>
    <r>
      <rPr>
        <sz val="9"/>
        <color theme="1"/>
        <rFont val="맑은 고딕"/>
        <family val="2"/>
      </rPr>
      <t>추가</t>
    </r>
    <r>
      <rPr>
        <sz val="9"/>
        <color theme="1"/>
        <rFont val="Calibri"/>
        <family val="2"/>
      </rPr>
      <t xml:space="preserve"> &gt;&gt;</t>
    </r>
  </si>
  <si>
    <t>Add Languages</t>
  </si>
  <si>
    <r>
      <rPr>
        <sz val="9"/>
        <color theme="1"/>
        <rFont val="맑은 고딕"/>
        <family val="2"/>
      </rPr>
      <t>언어</t>
    </r>
    <r>
      <rPr>
        <sz val="9"/>
        <color theme="1"/>
        <rFont val="Calibri"/>
        <family val="2"/>
      </rPr>
      <t xml:space="preserve"> </t>
    </r>
    <r>
      <rPr>
        <sz val="9"/>
        <color theme="1"/>
        <rFont val="맑은 고딕"/>
        <family val="2"/>
      </rPr>
      <t>추가</t>
    </r>
  </si>
  <si>
    <t>Add to MS Outlook Calendar</t>
  </si>
  <si>
    <r>
      <t>MS Outlook</t>
    </r>
    <r>
      <rPr>
        <sz val="9"/>
        <color theme="1"/>
        <rFont val="맑은 고딕"/>
        <family val="2"/>
      </rPr>
      <t>일정</t>
    </r>
    <r>
      <rPr>
        <sz val="9"/>
        <color theme="1"/>
        <rFont val="Calibri"/>
        <family val="2"/>
      </rPr>
      <t xml:space="preserve"> </t>
    </r>
    <r>
      <rPr>
        <sz val="9"/>
        <color theme="1"/>
        <rFont val="맑은 고딕"/>
        <family val="2"/>
      </rPr>
      <t>등록</t>
    </r>
  </si>
  <si>
    <t>Add to MS Outlook Task</t>
  </si>
  <si>
    <r>
      <t>MS Outlook</t>
    </r>
    <r>
      <rPr>
        <sz val="9"/>
        <color theme="1"/>
        <rFont val="맑은 고딕"/>
        <family val="2"/>
      </rPr>
      <t>작업</t>
    </r>
    <r>
      <rPr>
        <sz val="9"/>
        <color theme="1"/>
        <rFont val="Calibri"/>
        <family val="2"/>
      </rPr>
      <t xml:space="preserve"> </t>
    </r>
    <r>
      <rPr>
        <sz val="9"/>
        <color theme="1"/>
        <rFont val="맑은 고딕"/>
        <family val="2"/>
      </rPr>
      <t>등록</t>
    </r>
  </si>
  <si>
    <t>After turning off filtering, we'll proceed.</t>
  </si>
  <si>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</si>
  <si>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t>All tasks</t>
  </si>
  <si>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</si>
  <si>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t>An error occurred while checking for updates. Please try again \nError Message: {}</t>
  </si>
  <si>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</si>
  <si>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t>An error occurred while checking XLGantt cell formats. Please restart XLGantt.</t>
  </si>
  <si>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</si>
  <si>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t>An error occurred while processing. Please check the messages below.</t>
  </si>
  <si>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</si>
  <si>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t>Analysis</t>
  </si>
  <si>
    <r>
      <rPr>
        <sz val="9"/>
        <color theme="1"/>
        <rFont val="맑은 고딕"/>
        <family val="2"/>
      </rPr>
      <t>분석</t>
    </r>
  </si>
  <si>
    <t>Automatically defined</t>
  </si>
  <si>
    <r>
      <rPr>
        <sz val="9"/>
        <color theme="1"/>
        <rFont val="맑은 고딕"/>
        <family val="2"/>
      </rPr>
      <t>자동지정</t>
    </r>
  </si>
  <si>
    <t>Available Languages</t>
  </si>
  <si>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</si>
  <si>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t>Bar chart Text Display Position</t>
  </si>
  <si>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</si>
  <si>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t>Because the following task already has been added, XLGantt does not add it to "Outlook".\n\nTask Name : {1} \nDue Date : {2}</t>
  </si>
  <si>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</si>
  <si>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t>Because the following task already has been added, XLGantt does not add it to "Outlook".\n\nTask Name : {1} \nStart Date : {2}</t>
  </si>
  <si>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</si>
  <si>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t>blabla</t>
  </si>
  <si>
    <t>...</t>
  </si>
  <si>
    <t>By %Work Complete</t>
  </si>
  <si>
    <r>
      <rPr>
        <sz val="9"/>
        <color theme="1"/>
        <rFont val="맑은 고딕"/>
        <family val="2"/>
      </rPr>
      <t>완료율</t>
    </r>
  </si>
  <si>
    <t>By Duration</t>
  </si>
  <si>
    <r>
      <rPr>
        <sz val="9"/>
        <color theme="1"/>
        <rFont val="맑은 고딕"/>
        <family val="2"/>
      </rPr>
      <t>기간</t>
    </r>
  </si>
  <si>
    <t>By Resource</t>
  </si>
  <si>
    <r>
      <rPr>
        <sz val="9"/>
        <color theme="1"/>
        <rFont val="맑은 고딕"/>
        <family val="2"/>
      </rPr>
      <t>담당</t>
    </r>
    <phoneticPr fontId="2" type="noConversion"/>
  </si>
  <si>
    <t>Calculation Base Date of Planned %Work Complete</t>
  </si>
  <si>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</si>
  <si>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t>Calculation Base Date of Planned %Work Complete must be greater than or equal to project start date.</t>
  </si>
  <si>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</si>
  <si>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t>Calculation Base Date of Planned %Work Complete must be less than or equal to project finish date.</t>
  </si>
  <si>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</si>
  <si>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t>Calendar</t>
  </si>
  <si>
    <t>Cancel</t>
  </si>
  <si>
    <r>
      <rPr>
        <sz val="9"/>
        <color theme="1"/>
        <rFont val="맑은 고딕"/>
        <family val="2"/>
      </rPr>
      <t>취소</t>
    </r>
  </si>
  <si>
    <t>Chart</t>
  </si>
  <si>
    <r>
      <rPr>
        <sz val="9"/>
        <color theme="1"/>
        <rFont val="맑은 고딕"/>
        <family val="2"/>
      </rPr>
      <t>차트</t>
    </r>
  </si>
  <si>
    <t>Check for Updates</t>
  </si>
  <si>
    <r>
      <rPr>
        <sz val="9"/>
        <color theme="1"/>
        <rFont val="맑은 고딕"/>
        <family val="2"/>
      </rPr>
      <t>최신버전확인</t>
    </r>
  </si>
  <si>
    <t xml:space="preserve">Check for Updates on Startup </t>
  </si>
  <si>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</si>
  <si>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t>Check if you save deliverables in specific directory</t>
  </si>
  <si>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</si>
  <si>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t>Choose a file type to import</t>
  </si>
  <si>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</si>
  <si>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t>Choose a language used in XLGantt</t>
  </si>
  <si>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</si>
  <si>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t>Choose a language used in XLGantt.</t>
  </si>
  <si>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</si>
  <si>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t>Choose a language.</t>
  </si>
  <si>
    <r>
      <rPr>
        <sz val="9"/>
        <color theme="1"/>
        <rFont val="맑은 고딕"/>
        <family val="2"/>
      </rPr>
      <t>언어를</t>
    </r>
    <r>
      <rPr>
        <sz val="9"/>
        <color theme="1"/>
        <rFont val="Calibri"/>
        <family val="2"/>
      </rPr>
      <t xml:space="preserve"> </t>
    </r>
    <r>
      <rPr>
        <sz val="9"/>
        <color theme="1"/>
        <rFont val="맑은 고딕"/>
        <family val="2"/>
      </rPr>
      <t>선택하세요</t>
    </r>
  </si>
  <si>
    <t>Choose an import option.</t>
  </si>
  <si>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</si>
  <si>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t>Choose directly</t>
  </si>
  <si>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</si>
  <si>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t>Choose the Type of Deliverables</t>
  </si>
  <si>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</si>
  <si>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t>Close</t>
  </si>
  <si>
    <r>
      <rPr>
        <sz val="9"/>
        <color theme="1"/>
        <rFont val="맑은 고딕"/>
        <family val="2"/>
      </rPr>
      <t>닫기</t>
    </r>
  </si>
  <si>
    <t>Completed(=100%)</t>
  </si>
  <si>
    <r>
      <rPr>
        <sz val="9"/>
        <color theme="1"/>
        <rFont val="맑은 고딕"/>
        <family val="2"/>
      </rPr>
      <t>완료</t>
    </r>
  </si>
  <si>
    <t>Contains</t>
  </si>
  <si>
    <r>
      <rPr>
        <sz val="9"/>
        <color theme="1"/>
        <rFont val="맑은 고딕"/>
        <family val="2"/>
      </rPr>
      <t>포함</t>
    </r>
  </si>
  <si>
    <t>Current Version</t>
  </si>
  <si>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</si>
  <si>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t>Daily</t>
  </si>
  <si>
    <r>
      <rPr>
        <sz val="9"/>
        <color theme="1"/>
        <rFont val="맑은 고딕"/>
        <family val="2"/>
      </rPr>
      <t>일별</t>
    </r>
  </si>
  <si>
    <t>Daily view</t>
  </si>
  <si>
    <r>
      <rPr>
        <sz val="9"/>
        <color theme="1"/>
        <rFont val="맑은 고딕"/>
        <family val="2"/>
      </rPr>
      <t>일별보기</t>
    </r>
  </si>
  <si>
    <t>Days (Average number of working days per month)</t>
  </si>
  <si>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</si>
  <si>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t xml:space="preserve">Days counted as Nonworking days </t>
  </si>
  <si>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</si>
  <si>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t>Deliverables</t>
  </si>
  <si>
    <r>
      <rPr>
        <sz val="9"/>
        <color theme="1"/>
        <rFont val="맑은 고딕"/>
        <family val="2"/>
      </rPr>
      <t>산출물</t>
    </r>
  </si>
  <si>
    <t>Deliverables field.</t>
  </si>
  <si>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</si>
  <si>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t>Deliverables type is not selected</t>
  </si>
  <si>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</si>
  <si>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t>Display  % Work Complete</t>
  </si>
  <si>
    <r>
      <rPr>
        <sz val="9"/>
        <color theme="1"/>
        <rFont val="맑은 고딕"/>
        <family val="2"/>
      </rPr>
      <t>실적진척율</t>
    </r>
    <r>
      <rPr>
        <sz val="9"/>
        <color theme="1"/>
        <rFont val="Calibri"/>
        <family val="2"/>
      </rPr>
      <t xml:space="preserve"> </t>
    </r>
    <r>
      <rPr>
        <sz val="9"/>
        <color theme="1"/>
        <rFont val="맑은 고딕"/>
        <family val="2"/>
      </rPr>
      <t>표시</t>
    </r>
  </si>
  <si>
    <t>Display date</t>
  </si>
  <si>
    <r>
      <rPr>
        <sz val="9"/>
        <color theme="1"/>
        <rFont val="맑은 고딕"/>
        <family val="2"/>
      </rPr>
      <t>날짜</t>
    </r>
    <r>
      <rPr>
        <sz val="9"/>
        <color theme="1"/>
        <rFont val="Calibri"/>
        <family val="2"/>
      </rPr>
      <t xml:space="preserve"> </t>
    </r>
    <r>
      <rPr>
        <sz val="9"/>
        <color theme="1"/>
        <rFont val="맑은 고딕"/>
        <family val="2"/>
      </rPr>
      <t>표시</t>
    </r>
  </si>
  <si>
    <t>Display font color to the gray for the completed tasks</t>
    <phoneticPr fontId="2" type="noConversion"/>
  </si>
  <si>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</si>
  <si>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t>Display interior color to the gray for the task groups</t>
  </si>
  <si>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</si>
  <si>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t>Display Planned %Work Complete</t>
  </si>
  <si>
    <r>
      <rPr>
        <sz val="9"/>
        <color theme="1"/>
        <rFont val="맑은 고딕"/>
        <family val="2"/>
      </rPr>
      <t>계획진척율</t>
    </r>
    <r>
      <rPr>
        <sz val="9"/>
        <color theme="1"/>
        <rFont val="Calibri"/>
        <family val="2"/>
      </rPr>
      <t xml:space="preserve"> </t>
    </r>
    <r>
      <rPr>
        <sz val="9"/>
        <color theme="1"/>
        <rFont val="맑은 고딕"/>
        <family val="2"/>
      </rPr>
      <t>표시</t>
    </r>
  </si>
  <si>
    <t>Display resource</t>
  </si>
  <si>
    <r>
      <rPr>
        <sz val="9"/>
        <color theme="1"/>
        <rFont val="맑은 고딕"/>
        <family val="2"/>
      </rPr>
      <t>담당</t>
    </r>
    <r>
      <rPr>
        <sz val="9"/>
        <color theme="1"/>
        <rFont val="Calibri"/>
        <family val="2"/>
      </rPr>
      <t xml:space="preserve"> </t>
    </r>
    <r>
      <rPr>
        <sz val="9"/>
        <color theme="1"/>
        <rFont val="맑은 고딕"/>
        <family val="2"/>
      </rPr>
      <t>표시</t>
    </r>
  </si>
  <si>
    <t xml:space="preserve">Display task name </t>
  </si>
  <si>
    <r>
      <rPr>
        <sz val="9"/>
        <color theme="1"/>
        <rFont val="맑은 고딕"/>
        <family val="2"/>
      </rPr>
      <t>작업명</t>
    </r>
    <r>
      <rPr>
        <sz val="9"/>
        <color theme="1"/>
        <rFont val="Calibri"/>
        <family val="2"/>
      </rPr>
      <t xml:space="preserve"> </t>
    </r>
    <r>
      <rPr>
        <sz val="9"/>
        <color theme="1"/>
        <rFont val="맑은 고딕"/>
        <family val="2"/>
      </rPr>
      <t>표시</t>
    </r>
  </si>
  <si>
    <t>Display the task name in the same field</t>
  </si>
  <si>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</si>
  <si>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t>Display the total workload of the project</t>
  </si>
  <si>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</si>
  <si>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t>Displays the task name in the different field for each level</t>
  </si>
  <si>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</si>
  <si>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t>Download the latest version</t>
  </si>
  <si>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</si>
  <si>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t>Drawing Gantt chart</t>
  </si>
  <si>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</si>
  <si>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t>Drawing progress line</t>
  </si>
  <si>
    <r>
      <rPr>
        <sz val="9"/>
        <color theme="1"/>
        <rFont val="맑은 고딕"/>
        <family val="2"/>
      </rPr>
      <t>진척율선</t>
    </r>
    <r>
      <rPr>
        <sz val="9"/>
        <color theme="1"/>
        <rFont val="Calibri"/>
        <family val="2"/>
      </rPr>
      <t xml:space="preserve"> </t>
    </r>
    <r>
      <rPr>
        <sz val="9"/>
        <color theme="1"/>
        <rFont val="맑은 고딕"/>
        <family val="2"/>
      </rPr>
      <t>그리기</t>
    </r>
  </si>
  <si>
    <t xml:space="preserve">Duration </t>
  </si>
  <si>
    <r>
      <rPr>
        <sz val="9"/>
        <color theme="1"/>
        <rFont val="맑은 고딕"/>
        <family val="2"/>
      </rPr>
      <t>기간</t>
    </r>
    <r>
      <rPr>
        <sz val="9"/>
        <color theme="1"/>
        <rFont val="Calibri"/>
        <family val="2"/>
      </rPr>
      <t xml:space="preserve"> </t>
    </r>
    <r>
      <rPr>
        <sz val="9"/>
        <color theme="1"/>
        <rFont val="맑은 고딕"/>
        <family val="2"/>
      </rPr>
      <t>지정</t>
    </r>
  </si>
  <si>
    <t>Edit a Task</t>
  </si>
  <si>
    <r>
      <rPr>
        <sz val="9"/>
        <color theme="1"/>
        <rFont val="맑은 고딕"/>
        <family val="2"/>
      </rPr>
      <t>작업</t>
    </r>
    <r>
      <rPr>
        <sz val="9"/>
        <color theme="1"/>
        <rFont val="Calibri"/>
        <family val="2"/>
      </rPr>
      <t xml:space="preserve"> </t>
    </r>
    <r>
      <rPr>
        <sz val="9"/>
        <color theme="1"/>
        <rFont val="맑은 고딕"/>
        <family val="2"/>
      </rPr>
      <t>정보</t>
    </r>
  </si>
  <si>
    <t>Enabled Languages</t>
  </si>
  <si>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</si>
  <si>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t>Equals</t>
  </si>
  <si>
    <r>
      <rPr>
        <sz val="9"/>
        <color theme="1"/>
        <rFont val="맑은 고딕"/>
        <family val="2"/>
      </rPr>
      <t>같음</t>
    </r>
  </si>
  <si>
    <t>Error! Calculated Total Man-Day is different from the Total Man-Day of the {} sheet.</t>
  </si>
  <si>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</si>
  <si>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t>Error! Cause may be one of the following.\n * File is invalid(e.g. the XLGantt file corrupted)\n * Not XLGantt file but General Excel file\n\n Please check the messages below for details.</t>
  </si>
  <si>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</si>
  <si>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t>Error, Invalid field specified.</t>
  </si>
  <si>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</si>
  <si>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t>Etc</t>
  </si>
  <si>
    <r>
      <rPr>
        <sz val="9"/>
        <color theme="1"/>
        <rFont val="맑은 고딕"/>
        <family val="2"/>
      </rPr>
      <t>기타</t>
    </r>
    <phoneticPr fontId="2" type="noConversion"/>
  </si>
  <si>
    <t>Excel</t>
  </si>
  <si>
    <r>
      <rPr>
        <sz val="9"/>
        <color theme="1"/>
        <rFont val="맑은 고딕"/>
        <family val="2"/>
      </rPr>
      <t>엑셀</t>
    </r>
  </si>
  <si>
    <t>Execution path of Program</t>
  </si>
  <si>
    <r>
      <rPr>
        <sz val="9"/>
        <color theme="1"/>
        <rFont val="맑은 고딕"/>
        <family val="2"/>
      </rPr>
      <t>프로그램</t>
    </r>
    <r>
      <rPr>
        <sz val="9"/>
        <color theme="1"/>
        <rFont val="Calibri"/>
        <family val="2"/>
      </rPr>
      <t xml:space="preserve"> </t>
    </r>
    <r>
      <rPr>
        <sz val="9"/>
        <color theme="1"/>
        <rFont val="맑은 고딕"/>
        <family val="2"/>
      </rPr>
      <t>실행경로</t>
    </r>
  </si>
  <si>
    <t>Extension</t>
  </si>
  <si>
    <r>
      <rPr>
        <sz val="9"/>
        <color theme="1"/>
        <rFont val="맑은 고딕"/>
        <family val="2"/>
      </rPr>
      <t>확장자명</t>
    </r>
  </si>
  <si>
    <t>Filter</t>
  </si>
  <si>
    <r>
      <rPr>
        <sz val="9"/>
        <color theme="1"/>
        <rFont val="맑은 고딕"/>
        <family val="2"/>
      </rPr>
      <t>필터</t>
    </r>
    <r>
      <rPr>
        <sz val="9"/>
        <color theme="1"/>
        <rFont val="Calibri"/>
        <family val="2"/>
      </rPr>
      <t xml:space="preserve"> </t>
    </r>
    <r>
      <rPr>
        <sz val="9"/>
        <color theme="1"/>
        <rFont val="맑은 고딕"/>
        <family val="2"/>
      </rPr>
      <t>적용</t>
    </r>
  </si>
  <si>
    <t>Filter Task</t>
  </si>
  <si>
    <r>
      <rPr>
        <sz val="9"/>
        <color theme="1"/>
        <rFont val="맑은 고딕"/>
        <family val="2"/>
      </rPr>
      <t>작업</t>
    </r>
    <r>
      <rPr>
        <sz val="9"/>
        <color theme="1"/>
        <rFont val="Calibri"/>
        <family val="2"/>
      </rPr>
      <t xml:space="preserve"> </t>
    </r>
    <r>
      <rPr>
        <sz val="9"/>
        <color theme="1"/>
        <rFont val="맑은 고딕"/>
        <family val="2"/>
      </rPr>
      <t>필터</t>
    </r>
  </si>
  <si>
    <t>Finish</t>
  </si>
  <si>
    <r>
      <rPr>
        <sz val="9"/>
        <color theme="1"/>
        <rFont val="맑은 고딕"/>
        <family val="2"/>
      </rPr>
      <t>완료일</t>
    </r>
  </si>
  <si>
    <t>Finish Date</t>
  </si>
  <si>
    <r>
      <rPr>
        <sz val="9"/>
        <color theme="1"/>
        <rFont val="맑은 고딕"/>
        <family val="2"/>
      </rPr>
      <t>완료일자</t>
    </r>
  </si>
  <si>
    <t>Finish date field of a task. It must be in date format.</t>
  </si>
  <si>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</si>
  <si>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t>Finish date is invalid.</t>
  </si>
  <si>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</si>
  <si>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t>Finish date is invalid. Verify row {} of the source file.</t>
  </si>
  <si>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</si>
  <si>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t>First day of week</t>
  </si>
  <si>
    <r>
      <rPr>
        <sz val="9"/>
        <color theme="1"/>
        <rFont val="맑은 고딕"/>
        <family val="2"/>
      </rPr>
      <t>한주의</t>
    </r>
    <r>
      <rPr>
        <sz val="9"/>
        <color theme="1"/>
        <rFont val="Calibri"/>
        <family val="2"/>
      </rPr>
      <t xml:space="preserve"> </t>
    </r>
    <r>
      <rPr>
        <sz val="9"/>
        <color theme="1"/>
        <rFont val="맑은 고딕"/>
        <family val="2"/>
      </rPr>
      <t>시작요일</t>
    </r>
  </si>
  <si>
    <t>Follow the language setting of your computer O/S</t>
  </si>
  <si>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</si>
  <si>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t>Fri</t>
  </si>
  <si>
    <r>
      <rPr>
        <sz val="9"/>
        <color theme="1"/>
        <rFont val="맑은 고딕"/>
        <family val="2"/>
      </rPr>
      <t>금</t>
    </r>
  </si>
  <si>
    <t>From (File to import )</t>
  </si>
  <si>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</si>
  <si>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t>From Date is invalid.</t>
  </si>
  <si>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</si>
  <si>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t>Gantt Chart Display</t>
  </si>
  <si>
    <r>
      <t>Gantt chart</t>
    </r>
    <r>
      <rPr>
        <sz val="9"/>
        <color theme="1"/>
        <rFont val="맑은 고딕"/>
        <family val="2"/>
      </rPr>
      <t>표시</t>
    </r>
    <r>
      <rPr>
        <sz val="9"/>
        <color theme="1"/>
        <rFont val="Calibri"/>
        <family val="2"/>
      </rPr>
      <t xml:space="preserve"> </t>
    </r>
    <r>
      <rPr>
        <sz val="9"/>
        <color theme="1"/>
        <rFont val="맑은 고딕"/>
        <family val="2"/>
      </rPr>
      <t>방법</t>
    </r>
  </si>
  <si>
    <t>Gantt Chart View Style</t>
  </si>
  <si>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</si>
  <si>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t>Gantt Chart Zoom Ratio</t>
  </si>
  <si>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</si>
  <si>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t>General</t>
  </si>
  <si>
    <r>
      <rPr>
        <sz val="9"/>
        <color theme="1"/>
        <rFont val="맑은 고딕"/>
        <family val="2"/>
      </rPr>
      <t>일반</t>
    </r>
    <phoneticPr fontId="2" type="noConversion"/>
  </si>
  <si>
    <t>If the language in source file and the language in target file are different, you can not import.</t>
  </si>
  <si>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</si>
  <si>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If you choose "Assigning path by task name automatically" option, you need to set the upper path.</t>
  </si>
  <si>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</si>
  <si>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t>If you do not enter the actual finish date of row number {1} in the {2} sheet, you can't enter "%Work Complete" as 100%.</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</si>
  <si>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</si>
  <si>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Import</t>
  </si>
  <si>
    <r>
      <rPr>
        <sz val="9"/>
        <color theme="1"/>
        <rFont val="맑은 고딕"/>
        <family val="2"/>
      </rPr>
      <t>가져오기</t>
    </r>
  </si>
  <si>
    <t>Import common Excel file</t>
  </si>
  <si>
    <r>
      <rPr>
        <sz val="9"/>
        <color theme="1"/>
        <rFont val="맑은 고딕"/>
        <family val="2"/>
      </rPr>
      <t>일반</t>
    </r>
    <r>
      <rPr>
        <sz val="9"/>
        <color theme="1"/>
        <rFont val="Calibri"/>
        <family val="2"/>
      </rPr>
      <t xml:space="preserve"> Excel </t>
    </r>
    <r>
      <rPr>
        <sz val="9"/>
        <color theme="1"/>
        <rFont val="맑은 고딕"/>
        <family val="2"/>
      </rPr>
      <t>파일</t>
    </r>
  </si>
  <si>
    <t>Import data after clearing the existing data</t>
  </si>
  <si>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</si>
  <si>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t>Import Data without Clearing the Existing Data</t>
  </si>
  <si>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</si>
  <si>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t>Import files created in XLGantt</t>
  </si>
  <si>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</si>
  <si>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t>Import new data into the Schedule sheet after clearing the exisint data</t>
  </si>
  <si>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</si>
  <si>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t>Import new data into the Schedule sheet without clearing the existing  data</t>
  </si>
  <si>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</si>
  <si>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t>Import Option</t>
  </si>
  <si>
    <r>
      <rPr>
        <sz val="9"/>
        <color theme="1"/>
        <rFont val="맑은 고딕"/>
        <family val="2"/>
      </rPr>
      <t>가져오기</t>
    </r>
    <r>
      <rPr>
        <sz val="9"/>
        <color theme="1"/>
        <rFont val="Calibri"/>
        <family val="2"/>
      </rPr>
      <t xml:space="preserve"> </t>
    </r>
    <r>
      <rPr>
        <sz val="9"/>
        <color theme="1"/>
        <rFont val="맑은 고딕"/>
        <family val="2"/>
      </rPr>
      <t>옵션</t>
    </r>
  </si>
  <si>
    <t xml:space="preserve">Import success!\nTotal rows of imported data : </t>
  </si>
  <si>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</si>
  <si>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t>Import without clearing the existing data.</t>
  </si>
  <si>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</si>
  <si>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t>Import Wizard</t>
  </si>
  <si>
    <r>
      <rPr>
        <sz val="9"/>
        <color theme="1"/>
        <rFont val="맑은 고딕"/>
        <family val="2"/>
      </rPr>
      <t>파일</t>
    </r>
    <r>
      <rPr>
        <sz val="9"/>
        <color theme="1"/>
        <rFont val="Calibri"/>
        <family val="2"/>
      </rPr>
      <t xml:space="preserve"> </t>
    </r>
    <r>
      <rPr>
        <sz val="9"/>
        <color theme="1"/>
        <rFont val="맑은 고딕"/>
        <family val="2"/>
      </rPr>
      <t>가져오기</t>
    </r>
  </si>
  <si>
    <t>Importing..., Please wait...</t>
  </si>
  <si>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</si>
  <si>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t>Included in the selection\nlist when deliverables\nnot specified</t>
  </si>
  <si>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</si>
  <si>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t>Indent Task</t>
  </si>
  <si>
    <r>
      <rPr>
        <sz val="9"/>
        <color theme="1"/>
        <rFont val="맑은 고딕"/>
        <family val="2"/>
      </rPr>
      <t>작업레벨</t>
    </r>
    <r>
      <rPr>
        <sz val="9"/>
        <color theme="1"/>
        <rFont val="Calibri"/>
        <family val="2"/>
      </rPr>
      <t xml:space="preserve"> </t>
    </r>
    <r>
      <rPr>
        <sz val="9"/>
        <color theme="1"/>
        <rFont val="맑은 고딕"/>
        <family val="2"/>
      </rPr>
      <t>내림</t>
    </r>
  </si>
  <si>
    <t>Inside of the chart</t>
  </si>
  <si>
    <r>
      <t xml:space="preserve">Chart </t>
    </r>
    <r>
      <rPr>
        <sz val="9"/>
        <color theme="1"/>
        <rFont val="맑은 고딕"/>
        <family val="2"/>
      </rPr>
      <t>내부</t>
    </r>
  </si>
  <si>
    <t>It recalculates duration and % Work Complete. Clicking the Save button will be the same.</t>
  </si>
  <si>
    <t>It's already chosen language.</t>
  </si>
  <si>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</si>
  <si>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t>Job Results</t>
  </si>
  <si>
    <r>
      <rPr>
        <sz val="9"/>
        <color theme="1"/>
        <rFont val="맑은 고딕"/>
        <family val="2"/>
      </rPr>
      <t>작업결과</t>
    </r>
  </si>
  <si>
    <t>John</t>
  </si>
  <si>
    <r>
      <rPr>
        <sz val="9"/>
        <color theme="1"/>
        <rFont val="맑은 고딕"/>
        <family val="2"/>
      </rPr>
      <t>홍길동</t>
    </r>
  </si>
  <si>
    <t>Language</t>
  </si>
  <si>
    <r>
      <rPr>
        <sz val="9"/>
        <color theme="1"/>
        <rFont val="맑은 고딕"/>
        <family val="2"/>
      </rPr>
      <t>언어</t>
    </r>
    <phoneticPr fontId="2" type="noConversion"/>
  </si>
  <si>
    <t>Left of the chart</t>
  </si>
  <si>
    <r>
      <t xml:space="preserve">Chart </t>
    </r>
    <r>
      <rPr>
        <sz val="9"/>
        <color theme="1"/>
        <rFont val="맑은 고딕"/>
        <family val="2"/>
      </rPr>
      <t>왼쪽</t>
    </r>
  </si>
  <si>
    <t>License</t>
  </si>
  <si>
    <r>
      <rPr>
        <sz val="9"/>
        <color theme="1"/>
        <rFont val="맑은 고딕"/>
        <family val="2"/>
      </rPr>
      <t>라이선스</t>
    </r>
  </si>
  <si>
    <t>Managing Schedule Changes</t>
  </si>
  <si>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</si>
  <si>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t>Man-Day</t>
  </si>
  <si>
    <t>Man-Month</t>
  </si>
  <si>
    <t>Map &gt;&gt;</t>
  </si>
  <si>
    <t>Mapping &gt;&gt;</t>
  </si>
  <si>
    <t>mm/dd/yyyy</t>
  </si>
  <si>
    <t>yyyy/mm/dd</t>
    <phoneticPr fontId="2" type="noConversion"/>
  </si>
  <si>
    <t>mmmm yyyy</t>
  </si>
  <si>
    <r>
      <t>yyyy</t>
    </r>
    <r>
      <rPr>
        <sz val="9"/>
        <color theme="1"/>
        <rFont val="맑은 고딕"/>
        <family val="2"/>
      </rPr>
      <t>년</t>
    </r>
    <r>
      <rPr>
        <sz val="9"/>
        <color theme="1"/>
        <rFont val="Calibri"/>
        <family val="2"/>
      </rPr>
      <t xml:space="preserve"> m</t>
    </r>
    <r>
      <rPr>
        <sz val="9"/>
        <color theme="1"/>
        <rFont val="맑은 고딕"/>
        <family val="2"/>
      </rPr>
      <t>월</t>
    </r>
  </si>
  <si>
    <t>Mon</t>
  </si>
  <si>
    <r>
      <rPr>
        <sz val="9"/>
        <color theme="1"/>
        <rFont val="맑은 고딕"/>
        <family val="2"/>
      </rPr>
      <t>월</t>
    </r>
  </si>
  <si>
    <t>Monthly</t>
  </si>
  <si>
    <r>
      <rPr>
        <sz val="9"/>
        <color theme="1"/>
        <rFont val="맑은 고딕"/>
        <family val="2"/>
      </rPr>
      <t>월별</t>
    </r>
  </si>
  <si>
    <t>Monthly view</t>
  </si>
  <si>
    <r>
      <rPr>
        <sz val="9"/>
        <color theme="1"/>
        <rFont val="맑은 고딕"/>
        <family val="2"/>
      </rPr>
      <t>월별보기</t>
    </r>
  </si>
  <si>
    <t>Months</t>
  </si>
  <si>
    <t>Name of Nonworking Days</t>
  </si>
  <si>
    <r>
      <rPr>
        <sz val="9"/>
        <color theme="1"/>
        <rFont val="맑은 고딕"/>
        <family val="2"/>
      </rPr>
      <t>휴무일명</t>
    </r>
  </si>
  <si>
    <t>New Version</t>
  </si>
  <si>
    <r>
      <rPr>
        <sz val="9"/>
        <color theme="1"/>
        <rFont val="맑은 고딕"/>
        <family val="2"/>
      </rPr>
      <t>최신</t>
    </r>
    <r>
      <rPr>
        <sz val="9"/>
        <color theme="1"/>
        <rFont val="Calibri"/>
        <family val="2"/>
      </rPr>
      <t xml:space="preserve"> </t>
    </r>
    <r>
      <rPr>
        <sz val="9"/>
        <color theme="1"/>
        <rFont val="맑은 고딕"/>
        <family val="2"/>
      </rPr>
      <t>버전</t>
    </r>
  </si>
  <si>
    <t>Next &gt;&gt;</t>
  </si>
  <si>
    <r>
      <rPr>
        <sz val="9"/>
        <color theme="1"/>
        <rFont val="맑은 고딕"/>
        <family val="2"/>
      </rPr>
      <t>다음</t>
    </r>
    <r>
      <rPr>
        <sz val="9"/>
        <color theme="1"/>
        <rFont val="Calibri"/>
        <family val="2"/>
      </rPr>
      <t xml:space="preserve"> &gt;&gt;</t>
    </r>
  </si>
  <si>
    <t>No need to enter in the Calendar sheet</t>
  </si>
  <si>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</si>
  <si>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t>No need to enter Saturdays and Sundays in the Calendar sheet</t>
  </si>
  <si>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</si>
  <si>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t>Nonworking Days</t>
  </si>
  <si>
    <r>
      <rPr>
        <sz val="9"/>
        <color theme="1"/>
        <rFont val="맑은 고딕"/>
        <family val="2"/>
      </rPr>
      <t>휴무일자</t>
    </r>
  </si>
  <si>
    <t>Not Completed(&lt;&gt;100%)</t>
  </si>
  <si>
    <r>
      <rPr>
        <sz val="9"/>
        <color theme="1"/>
        <rFont val="맑은 고딕"/>
        <family val="2"/>
      </rPr>
      <t>미완료</t>
    </r>
  </si>
  <si>
    <t>Not Managing Schedule Changes</t>
  </si>
  <si>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</si>
  <si>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t>Not Specified(Standard Calendar)</t>
  </si>
  <si>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</si>
  <si>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t>Note</t>
  </si>
  <si>
    <r>
      <rPr>
        <sz val="9"/>
        <color theme="1"/>
        <rFont val="맑은 고딕"/>
        <family val="2"/>
      </rPr>
      <t>비고</t>
    </r>
  </si>
  <si>
    <t>Of the first two rows, at least one has been deleted. Please retry after changing the sheet to its previous state.</t>
  </si>
  <si>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</si>
  <si>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t>Once you choose "Display the task name in the same field" option, you should select a WBS No. or a WBS Level field.</t>
  </si>
  <si>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</si>
  <si>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t>Only Saturdays and Sundays</t>
  </si>
  <si>
    <r>
      <rPr>
        <sz val="9"/>
        <color theme="1"/>
        <rFont val="맑은 고딕"/>
        <family val="2"/>
      </rPr>
      <t>토요일</t>
    </r>
    <r>
      <rPr>
        <sz val="9"/>
        <color theme="1"/>
        <rFont val="Calibri"/>
        <family val="2"/>
      </rPr>
      <t>,</t>
    </r>
    <r>
      <rPr>
        <sz val="9"/>
        <color theme="1"/>
        <rFont val="맑은 고딕"/>
        <family val="2"/>
      </rPr>
      <t>일요일만</t>
    </r>
    <phoneticPr fontId="2" type="noConversion"/>
  </si>
  <si>
    <t>Only the dates entered in the Calendar sheet</t>
  </si>
  <si>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</si>
  <si>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Open Deliverables</t>
  </si>
  <si>
    <r>
      <rPr>
        <sz val="9"/>
        <color theme="1"/>
        <rFont val="맑은 고딕"/>
        <family val="2"/>
      </rPr>
      <t>산출물</t>
    </r>
    <r>
      <rPr>
        <sz val="9"/>
        <color theme="1"/>
        <rFont val="Calibri"/>
        <family val="2"/>
      </rPr>
      <t xml:space="preserve"> </t>
    </r>
    <r>
      <rPr>
        <sz val="9"/>
        <color theme="1"/>
        <rFont val="맑은 고딕"/>
        <family val="2"/>
      </rPr>
      <t>열기</t>
    </r>
  </si>
  <si>
    <t>Open Deliverables Folder</t>
  </si>
  <si>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</si>
  <si>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t>Options</t>
  </si>
  <si>
    <r>
      <rPr>
        <sz val="9"/>
        <color theme="1"/>
        <rFont val="맑은 고딕"/>
        <family val="2"/>
      </rPr>
      <t>옵션</t>
    </r>
  </si>
  <si>
    <t>Outdent Task</t>
  </si>
  <si>
    <r>
      <rPr>
        <sz val="9"/>
        <color theme="1"/>
        <rFont val="맑은 고딕"/>
        <family val="2"/>
      </rPr>
      <t>작업레벨</t>
    </r>
    <r>
      <rPr>
        <sz val="9"/>
        <color theme="1"/>
        <rFont val="Calibri"/>
        <family val="2"/>
      </rPr>
      <t xml:space="preserve"> </t>
    </r>
    <r>
      <rPr>
        <sz val="9"/>
        <color theme="1"/>
        <rFont val="맑은 고딕"/>
        <family val="2"/>
      </rPr>
      <t>올림</t>
    </r>
  </si>
  <si>
    <t>Outline Level</t>
  </si>
  <si>
    <r>
      <rPr>
        <sz val="9"/>
        <color theme="1"/>
        <rFont val="맑은 고딕"/>
        <family val="2"/>
      </rPr>
      <t>개요수준</t>
    </r>
  </si>
  <si>
    <t xml:space="preserve">Percent </t>
  </si>
  <si>
    <r>
      <rPr>
        <sz val="9"/>
        <color theme="1"/>
        <rFont val="맑은 고딕"/>
        <family val="2"/>
      </rPr>
      <t>퍼센트</t>
    </r>
    <r>
      <rPr>
        <sz val="9"/>
        <color theme="1"/>
        <rFont val="Calibri"/>
        <family val="2"/>
      </rPr>
      <t xml:space="preserve"> </t>
    </r>
    <r>
      <rPr>
        <sz val="9"/>
        <color theme="1"/>
        <rFont val="맑은 고딕"/>
        <family val="2"/>
      </rPr>
      <t>지정</t>
    </r>
  </si>
  <si>
    <t>Performed Work(C)\nMan-day</t>
  </si>
  <si>
    <r>
      <rPr>
        <sz val="9"/>
        <color theme="1"/>
        <rFont val="맑은 고딕"/>
        <family val="2"/>
      </rPr>
      <t>진척작업량</t>
    </r>
    <r>
      <rPr>
        <sz val="9"/>
        <color theme="1"/>
        <rFont val="Calibri"/>
        <family val="2"/>
      </rPr>
      <t>( C )\nMan-day</t>
    </r>
  </si>
  <si>
    <t>Performed workload on planned schedule</t>
  </si>
  <si>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</si>
  <si>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t>Performed workload on planned schedule when managing schedule changes(Total Duration x %Work Complete)</t>
  </si>
  <si>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</si>
  <si>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t>Pick a Date</t>
  </si>
  <si>
    <r>
      <rPr>
        <sz val="9"/>
        <color theme="1"/>
        <rFont val="맑은 고딕"/>
        <family val="2"/>
      </rPr>
      <t>날짜</t>
    </r>
    <r>
      <rPr>
        <sz val="9"/>
        <color theme="1"/>
        <rFont val="Calibri"/>
        <family val="2"/>
      </rPr>
      <t xml:space="preserve"> </t>
    </r>
    <r>
      <rPr>
        <sz val="9"/>
        <color theme="1"/>
        <rFont val="맑은 고딕"/>
        <family val="2"/>
      </rPr>
      <t>선택</t>
    </r>
  </si>
  <si>
    <t>Plan</t>
    <phoneticPr fontId="2" type="noConversion"/>
  </si>
  <si>
    <t>계획</t>
    <phoneticPr fontId="2" type="noConversion"/>
  </si>
  <si>
    <t>Planned %Work Complete calculation base date</t>
  </si>
  <si>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</si>
  <si>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 %Work Complete from the start date to the current date</t>
  </si>
  <si>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</si>
  <si>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t>Planned %Work Complete(A)</t>
  </si>
  <si>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</si>
  <si>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t>Planned %Work Complete(B/A)</t>
  </si>
  <si>
    <r>
      <rPr>
        <sz val="9"/>
        <color theme="1"/>
        <rFont val="맑은 고딕"/>
        <family val="2"/>
      </rPr>
      <t>계획</t>
    </r>
    <r>
      <rPr>
        <sz val="9"/>
        <color theme="1"/>
        <rFont val="Calibri"/>
        <family val="2"/>
      </rPr>
      <t>(B/A)</t>
    </r>
  </si>
  <si>
    <t>Planned Progress</t>
  </si>
  <si>
    <r>
      <rPr>
        <sz val="9"/>
        <color theme="1"/>
        <rFont val="맑은 고딕"/>
        <family val="2"/>
      </rPr>
      <t>계획진척율</t>
    </r>
  </si>
  <si>
    <t>Planned Project Progresses by Weeks</t>
  </si>
  <si>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</si>
  <si>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t>Planned Work(B)\nMan-day</t>
  </si>
  <si>
    <r>
      <rPr>
        <sz val="9"/>
        <color theme="1"/>
        <rFont val="맑은 고딕"/>
        <family val="2"/>
      </rPr>
      <t>계획작업량</t>
    </r>
    <r>
      <rPr>
        <sz val="9"/>
        <color theme="1"/>
        <rFont val="Calibri"/>
        <family val="2"/>
      </rPr>
      <t>(B)\nMan-day</t>
    </r>
  </si>
  <si>
    <t>Planned Work\n(ManDay to Today)</t>
  </si>
  <si>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</si>
  <si>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t>Planned workload</t>
  </si>
  <si>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</si>
  <si>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t>Planned workload from the start date to the current date</t>
  </si>
  <si>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</si>
  <si>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t>Planned__%Work Complete</t>
    <phoneticPr fontId="5" type="noConversion"/>
  </si>
  <si>
    <r>
      <rPr>
        <sz val="9"/>
        <color theme="1"/>
        <rFont val="돋움"/>
        <family val="3"/>
        <charset val="129"/>
      </rPr>
      <t>계획</t>
    </r>
  </si>
  <si>
    <t>Planned__Duration</t>
    <phoneticPr fontId="5" type="noConversion"/>
  </si>
  <si>
    <r>
      <rPr>
        <sz val="9"/>
        <color theme="1"/>
        <rFont val="돋움"/>
        <family val="3"/>
        <charset val="129"/>
      </rPr>
      <t>계획</t>
    </r>
    <r>
      <rPr>
        <sz val="9"/>
        <color theme="1"/>
        <rFont val="Calibri"/>
        <family val="2"/>
      </rPr>
      <t>__</t>
    </r>
    <r>
      <rPr>
        <sz val="9"/>
        <color theme="1"/>
        <rFont val="돋움"/>
        <family val="3"/>
        <charset val="129"/>
      </rPr>
      <t>기간</t>
    </r>
    <phoneticPr fontId="5" type="noConversion"/>
  </si>
  <si>
    <t>Planned__Work</t>
    <phoneticPr fontId="5"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</si>
  <si>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5" type="noConversion"/>
  </si>
  <si>
    <t>Planned\n%Work Complete</t>
  </si>
  <si>
    <r>
      <rPr>
        <sz val="9"/>
        <color theme="1"/>
        <rFont val="맑은 고딕"/>
        <family val="2"/>
      </rPr>
      <t>계획</t>
    </r>
  </si>
  <si>
    <t>Planned\nDuration</t>
  </si>
  <si>
    <r>
      <t>계획</t>
    </r>
    <r>
      <rPr>
        <sz val="10"/>
        <color theme="1"/>
        <rFont val="Calibri"/>
        <family val="2"/>
      </rPr>
      <t>\n</t>
    </r>
    <r>
      <rPr>
        <sz val="10"/>
        <color theme="1"/>
        <rFont val="돋움"/>
        <family val="3"/>
        <charset val="129"/>
      </rPr>
      <t>기간</t>
    </r>
  </si>
  <si>
    <t>Planned\nWork</t>
  </si>
  <si>
    <r>
      <rPr>
        <sz val="9"/>
        <color theme="1"/>
        <rFont val="맑은 고딕"/>
        <family val="2"/>
      </rPr>
      <t>계획</t>
    </r>
    <r>
      <rPr>
        <sz val="9"/>
        <color theme="1"/>
        <rFont val="Calibri"/>
        <family val="2"/>
      </rPr>
      <t>\n</t>
    </r>
    <r>
      <rPr>
        <sz val="9"/>
        <color theme="1"/>
        <rFont val="맑은 고딕"/>
        <family val="2"/>
      </rPr>
      <t>작업량</t>
    </r>
  </si>
  <si>
    <t>Please choose a type of the task field.</t>
  </si>
  <si>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</si>
  <si>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t>Please enter the extension.</t>
  </si>
  <si>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</si>
  <si>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t>Please enter the path where deliverables are saved.</t>
  </si>
  <si>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</si>
  <si>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t>Please enter the program execution path.</t>
  </si>
  <si>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</si>
  <si>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t>Please set project calendars in this sheet.</t>
  </si>
  <si>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</si>
  <si>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t>Positive - ahead of schedule, Negative - behind schedule</t>
  </si>
  <si>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</si>
  <si>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t>Powerpoint</t>
  </si>
  <si>
    <r>
      <rPr>
        <sz val="9"/>
        <color theme="1"/>
        <rFont val="맑은 고딕"/>
        <family val="2"/>
      </rPr>
      <t>파워포인트</t>
    </r>
  </si>
  <si>
    <t>Program Info</t>
  </si>
  <si>
    <r>
      <rPr>
        <sz val="9"/>
        <color theme="1"/>
        <rFont val="맑은 고딕"/>
        <family val="2"/>
      </rPr>
      <t>프로그램</t>
    </r>
    <r>
      <rPr>
        <sz val="9"/>
        <color theme="1"/>
        <rFont val="Calibri"/>
        <family val="2"/>
      </rPr>
      <t xml:space="preserve"> </t>
    </r>
    <r>
      <rPr>
        <sz val="9"/>
        <color theme="1"/>
        <rFont val="맑은 고딕"/>
        <family val="2"/>
      </rPr>
      <t>정보</t>
    </r>
  </si>
  <si>
    <t>Program Name</t>
  </si>
  <si>
    <r>
      <rPr>
        <sz val="9"/>
        <color theme="1"/>
        <rFont val="맑은 고딕"/>
        <family val="2"/>
      </rPr>
      <t>프로그램명</t>
    </r>
  </si>
  <si>
    <t>Program Site</t>
  </si>
  <si>
    <r>
      <rPr>
        <sz val="9"/>
        <color theme="1"/>
        <rFont val="맑은 고딕"/>
        <family val="2"/>
      </rPr>
      <t>프로그램</t>
    </r>
    <r>
      <rPr>
        <sz val="9"/>
        <color theme="1"/>
        <rFont val="Calibri"/>
        <family val="2"/>
      </rPr>
      <t xml:space="preserve"> </t>
    </r>
    <r>
      <rPr>
        <sz val="9"/>
        <color theme="1"/>
        <rFont val="맑은 고딕"/>
        <family val="2"/>
      </rPr>
      <t>사이트</t>
    </r>
  </si>
  <si>
    <t>Progress</t>
  </si>
  <si>
    <r>
      <rPr>
        <sz val="9"/>
        <color theme="1"/>
        <rFont val="맑은 고딕"/>
        <family val="2"/>
      </rPr>
      <t>진척율</t>
    </r>
  </si>
  <si>
    <t>Progresses by Resources</t>
  </si>
  <si>
    <r>
      <rPr>
        <sz val="9"/>
        <color theme="1"/>
        <rFont val="맑은 고딕"/>
        <family val="2"/>
      </rPr>
      <t>담당별</t>
    </r>
    <r>
      <rPr>
        <sz val="9"/>
        <color theme="1"/>
        <rFont val="Calibri"/>
        <family val="2"/>
      </rPr>
      <t xml:space="preserve"> </t>
    </r>
    <r>
      <rPr>
        <sz val="9"/>
        <color theme="1"/>
        <rFont val="맑은 고딕"/>
        <family val="2"/>
      </rPr>
      <t>진행율</t>
    </r>
  </si>
  <si>
    <t>Project Execution Plan</t>
  </si>
  <si>
    <r>
      <rPr>
        <sz val="9"/>
        <color theme="1"/>
        <rFont val="맑은 고딕"/>
        <family val="2"/>
      </rPr>
      <t>프로젝트수행계획서</t>
    </r>
  </si>
  <si>
    <t>Project Information</t>
  </si>
  <si>
    <r>
      <rPr>
        <sz val="9"/>
        <color theme="1"/>
        <rFont val="맑은 고딕"/>
        <family val="2"/>
      </rPr>
      <t>프로젝트</t>
    </r>
    <r>
      <rPr>
        <sz val="9"/>
        <color theme="1"/>
        <rFont val="Calibri"/>
        <family val="2"/>
      </rPr>
      <t xml:space="preserve"> </t>
    </r>
    <r>
      <rPr>
        <sz val="9"/>
        <color theme="1"/>
        <rFont val="맑은 고딕"/>
        <family val="2"/>
      </rPr>
      <t>정보</t>
    </r>
  </si>
  <si>
    <t>Project Name</t>
  </si>
  <si>
    <r>
      <rPr>
        <sz val="9"/>
        <color theme="1"/>
        <rFont val="맑은 고딕"/>
        <family val="2"/>
      </rPr>
      <t>프로젝트명</t>
    </r>
  </si>
  <si>
    <t>Project Progress - When managing schedule changes</t>
  </si>
  <si>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</si>
  <si>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t>Project Progress - When not managing schedule changes</t>
  </si>
  <si>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</si>
  <si>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t>Project Scheduler</t>
  </si>
  <si>
    <t>Reformatting</t>
  </si>
  <si>
    <r>
      <rPr>
        <sz val="9"/>
        <color theme="1"/>
        <rFont val="맑은 고딕"/>
        <family val="2"/>
      </rPr>
      <t>서식재설정</t>
    </r>
  </si>
  <si>
    <t>Regardless of the language setting in computer O/S, you can choose a language directly</t>
  </si>
  <si>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</si>
  <si>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t>Release Date</t>
  </si>
  <si>
    <r>
      <rPr>
        <sz val="9"/>
        <color theme="1"/>
        <rFont val="맑은 고딕"/>
        <family val="2"/>
      </rPr>
      <t>릴리즈</t>
    </r>
    <r>
      <rPr>
        <sz val="9"/>
        <color theme="1"/>
        <rFont val="Calibri"/>
        <family val="2"/>
      </rPr>
      <t xml:space="preserve"> </t>
    </r>
    <r>
      <rPr>
        <sz val="9"/>
        <color theme="1"/>
        <rFont val="맑은 고딕"/>
        <family val="2"/>
      </rPr>
      <t>일자</t>
    </r>
  </si>
  <si>
    <t>Resource field.</t>
  </si>
  <si>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</si>
  <si>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t>Resources</t>
    <phoneticPr fontId="2" type="noConversion"/>
  </si>
  <si>
    <t>담당</t>
    <phoneticPr fontId="2" type="noConversion"/>
  </si>
  <si>
    <t>Right of the chart</t>
  </si>
  <si>
    <r>
      <t xml:space="preserve">Chart </t>
    </r>
    <r>
      <rPr>
        <sz val="9"/>
        <color theme="1"/>
        <rFont val="맑은 고딕"/>
        <family val="2"/>
      </rPr>
      <t>오른쪽</t>
    </r>
  </si>
  <si>
    <t xml:space="preserve">Rows of imported data : </t>
  </si>
  <si>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</si>
  <si>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t>Run "Update Schedule"  When Saving XLGantt File</t>
  </si>
  <si>
    <r>
      <t>File</t>
    </r>
    <r>
      <rPr>
        <sz val="9"/>
        <color theme="1"/>
        <rFont val="맑은 고딕"/>
        <family val="2"/>
      </rPr>
      <t>저장시</t>
    </r>
    <r>
      <rPr>
        <sz val="9"/>
        <color theme="1"/>
        <rFont val="Calibri"/>
        <family val="2"/>
      </rPr>
      <t xml:space="preserve"> WBS Update</t>
    </r>
    <r>
      <rPr>
        <sz val="9"/>
        <color theme="1"/>
        <rFont val="맑은 고딕"/>
        <family val="2"/>
      </rPr>
      <t>실행</t>
    </r>
  </si>
  <si>
    <t>Sat</t>
  </si>
  <si>
    <r>
      <rPr>
        <sz val="9"/>
        <color theme="1"/>
        <rFont val="맑은 고딕"/>
        <family val="2"/>
      </rPr>
      <t>토</t>
    </r>
  </si>
  <si>
    <t>Save</t>
  </si>
  <si>
    <r>
      <rPr>
        <sz val="9"/>
        <color theme="1"/>
        <rFont val="맑은 고딕"/>
        <family val="2"/>
      </rPr>
      <t>저장</t>
    </r>
  </si>
  <si>
    <t>Schedule Change Management</t>
  </si>
  <si>
    <r>
      <rPr>
        <sz val="9"/>
        <color theme="1"/>
        <rFont val="맑은 고딕"/>
        <family val="2"/>
      </rPr>
      <t>일정계획</t>
    </r>
    <r>
      <rPr>
        <sz val="9"/>
        <color theme="1"/>
        <rFont val="Calibri"/>
        <family val="2"/>
      </rPr>
      <t xml:space="preserve"> </t>
    </r>
    <r>
      <rPr>
        <sz val="9"/>
        <color theme="1"/>
        <rFont val="맑은 고딕"/>
        <family val="2"/>
      </rPr>
      <t>변경관리</t>
    </r>
  </si>
  <si>
    <t>Schedule update has been completed.</t>
  </si>
  <si>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</si>
  <si>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t>Schedule Variance(B-A)</t>
  </si>
  <si>
    <r>
      <rPr>
        <sz val="9"/>
        <color theme="1"/>
        <rFont val="맑은 고딕"/>
        <family val="2"/>
      </rPr>
      <t>차이</t>
    </r>
    <r>
      <rPr>
        <sz val="9"/>
        <color theme="1"/>
        <rFont val="Calibri"/>
        <family val="2"/>
      </rPr>
      <t>(B-A)</t>
    </r>
  </si>
  <si>
    <t>Search for the tasks based on criteria.</t>
  </si>
  <si>
    <t>Select source files(Muliple Select)</t>
  </si>
  <si>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</si>
  <si>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t>Set "the earlist start date and the lastest fisnish date of the tasks" to the Project Start-Finish date.</t>
  </si>
  <si>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</si>
  <si>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t xml:space="preserve">Set path by the task name automatically\n(in this case, specify the upper path of automatically assigned path) </t>
  </si>
  <si>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</si>
  <si>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t>Set program execution paths to open deliverables</t>
  </si>
  <si>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</si>
  <si>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t>Set saving path of deliverables</t>
  </si>
  <si>
    <r>
      <rPr>
        <sz val="9"/>
        <color theme="1"/>
        <rFont val="맑은 고딕"/>
        <family val="2"/>
      </rPr>
      <t>산출물</t>
    </r>
    <r>
      <rPr>
        <sz val="9"/>
        <color theme="1"/>
        <rFont val="Calibri"/>
        <family val="2"/>
      </rPr>
      <t xml:space="preserve"> </t>
    </r>
    <r>
      <rPr>
        <sz val="9"/>
        <color theme="1"/>
        <rFont val="맑은 고딕"/>
        <family val="2"/>
      </rPr>
      <t>저장경로</t>
    </r>
  </si>
  <si>
    <t>Settings</t>
  </si>
  <si>
    <r>
      <rPr>
        <sz val="9"/>
        <color theme="1"/>
        <rFont val="맑은 고딕"/>
        <family val="2"/>
      </rPr>
      <t>설정</t>
    </r>
  </si>
  <si>
    <t>Specific Date</t>
  </si>
  <si>
    <r>
      <rPr>
        <sz val="9"/>
        <color theme="1"/>
        <rFont val="맑은 고딕"/>
        <family val="2"/>
      </rPr>
      <t>특정날짜</t>
    </r>
  </si>
  <si>
    <t>Specific path</t>
  </si>
  <si>
    <r>
      <rPr>
        <sz val="9"/>
        <color theme="1"/>
        <rFont val="맑은 고딕"/>
        <family val="2"/>
      </rPr>
      <t>특정</t>
    </r>
    <r>
      <rPr>
        <sz val="9"/>
        <color theme="1"/>
        <rFont val="Calibri"/>
        <family val="2"/>
      </rPr>
      <t xml:space="preserve"> </t>
    </r>
    <r>
      <rPr>
        <sz val="9"/>
        <color theme="1"/>
        <rFont val="맑은 고딕"/>
        <family val="2"/>
      </rPr>
      <t>경로</t>
    </r>
  </si>
  <si>
    <t>Standard Calendar</t>
  </si>
  <si>
    <r>
      <rPr>
        <sz val="9"/>
        <color theme="1"/>
        <rFont val="맑은 고딕"/>
        <family val="2"/>
      </rPr>
      <t>표준캘린더</t>
    </r>
  </si>
  <si>
    <t>Star(*) marks-required fields, orange columns-automatically calculated</t>
  </si>
  <si>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</si>
  <si>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t>Start</t>
  </si>
  <si>
    <r>
      <rPr>
        <sz val="9"/>
        <color theme="1"/>
        <rFont val="맑은 고딕"/>
        <family val="2"/>
      </rPr>
      <t>시작일</t>
    </r>
  </si>
  <si>
    <t>Start Date</t>
  </si>
  <si>
    <r>
      <rPr>
        <sz val="9"/>
        <color theme="1"/>
        <rFont val="맑은 고딕"/>
        <family val="2"/>
      </rPr>
      <t>시작일자</t>
    </r>
  </si>
  <si>
    <t>Start date field of a task. It must be in date format.</t>
  </si>
  <si>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</si>
  <si>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t>Start date is invalid.</t>
  </si>
  <si>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</si>
  <si>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t>Start date is invalid. Verify row {} of the source file.</t>
  </si>
  <si>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</si>
  <si>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t>Start-Finish</t>
  </si>
  <si>
    <r>
      <rPr>
        <sz val="9"/>
        <color theme="1"/>
        <rFont val="맑은 고딕"/>
        <family val="2"/>
      </rPr>
      <t>시작일</t>
    </r>
    <r>
      <rPr>
        <sz val="9"/>
        <color theme="1"/>
        <rFont val="Calibri"/>
        <family val="2"/>
      </rPr>
      <t>-</t>
    </r>
    <r>
      <rPr>
        <sz val="9"/>
        <color theme="1"/>
        <rFont val="맑은 고딕"/>
        <family val="2"/>
      </rPr>
      <t>완료일</t>
    </r>
  </si>
  <si>
    <t>Sun</t>
  </si>
  <si>
    <r>
      <rPr>
        <sz val="9"/>
        <color theme="1"/>
        <rFont val="맑은 고딕"/>
        <family val="2"/>
      </rPr>
      <t>일</t>
    </r>
  </si>
  <si>
    <t>Task</t>
  </si>
  <si>
    <r>
      <rPr>
        <sz val="9"/>
        <color theme="1"/>
        <rFont val="맑은 고딕"/>
        <family val="2"/>
      </rPr>
      <t>작업</t>
    </r>
    <phoneticPr fontId="2" type="noConversion"/>
  </si>
  <si>
    <t>Task area was not selected. Please select a task area.</t>
  </si>
  <si>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</si>
  <si>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t>Task Name</t>
  </si>
  <si>
    <r>
      <rPr>
        <sz val="9"/>
        <color theme="1"/>
        <rFont val="맑은 고딕"/>
        <family val="2"/>
      </rPr>
      <t>작업명</t>
    </r>
  </si>
  <si>
    <t>Task name field.It's also referred to as "Work" or "Activity" or etc.</t>
  </si>
  <si>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</si>
  <si>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t>Task(Task name or Name) is missing.</t>
  </si>
  <si>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</si>
  <si>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t>The "%Work Complete" column has been deleted. Please retry after changing the sheet to its previous state.</t>
  </si>
  <si>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</si>
  <si>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"%Work Complete" of row number {1} in the {2} sheet is not a number.</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</si>
  <si>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</si>
  <si>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t>The "Actual Finish Date" column has been deleted. Please retry after changing the sheet to its previous state.</t>
  </si>
  <si>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</si>
  <si>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"Actual Start Date" column has been deleted. Please retry after changing the sheet to its previous state.</t>
  </si>
  <si>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</si>
  <si>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"Actual Total Duration" column has been deleted. Please retry after changing the sheet to its previous state.</t>
  </si>
  <si>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</si>
  <si>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"Actual Total Work" column has been deleted. Please retry after changing the sheet to its previous state.</t>
  </si>
  <si>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</si>
  <si>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"Calendar" column has been deleted. Please retry after changing the sheet to its previous state.</t>
  </si>
  <si>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</si>
  <si>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"Deliverables" column has been deleted. Please retry after changing the sheet to its previous state.</t>
  </si>
  <si>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</si>
  <si>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"Finish Date" column has been deleted. Please retry after changing the sheet to its previous state.</t>
  </si>
  <si>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</si>
  <si>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"Note" column has been deleted. Please retry after changing the sheet to its previous state.</t>
  </si>
  <si>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</si>
  <si>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"Planned %Work Complete" column has been deleted. Please retry after changing the sheet to its previous state.</t>
  </si>
  <si>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</si>
  <si>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"Planned Duration" column has been deleted. Please retry after changing the sheet to its previous state.</t>
  </si>
  <si>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</si>
  <si>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"Planned Work" column has been deleted. Please retry after changing the sheet to its previous state.</t>
  </si>
  <si>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</si>
  <si>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"Resources" column has been deleted. Please retry after changing the sheet to its previous state.</t>
  </si>
  <si>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</si>
  <si>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"Start Date" column has been deleted. Please retry after changing the sheet to its previous state.</t>
  </si>
  <si>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</si>
  <si>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"Task" column has been deleted. Please retry after changing the sheet to its previous state.</t>
  </si>
  <si>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</si>
  <si>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"Total Duration" column has been deleted. Please retry after changing the sheet to its previous state.</t>
  </si>
  <si>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</si>
  <si>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"Total Work" column has been deleted. Please retry after changing the sheet to its previous state.</t>
  </si>
  <si>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</si>
  <si>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"WBS Level" column has been deleted. Please retry after changing the sheet to its previous state.</t>
  </si>
  <si>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</si>
  <si>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"WBS" column has been deleted. Please retry after changing the sheet to its previous state.</t>
  </si>
  <si>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</si>
  <si>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"Weight" column has been deleted. Please retry after changing the sheet to its previous state.</t>
  </si>
  <si>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</si>
  <si>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 sheet does not exist. Please check that you changed or deleted the sheet.</t>
  </si>
  <si>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</si>
  <si>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t>The {} sheet does not exist. Please check that you have changed or deleted the sheet.</t>
  </si>
  <si>
    <t>The actual finish date format of row number {1} in the {2} sheet is invalid.</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</si>
  <si>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</si>
  <si>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t>The actual finish date of the row number {1} in the {2} sheet was entered, but the actual start date is empty.</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</si>
  <si>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</si>
  <si>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t>The actual start date format of row number {1} in the {2} sheet is invalid.</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</si>
  <si>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</si>
  <si>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t>The actual start date of row number {1} in the {2} sheet is later than the actual finish date.</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</si>
  <si>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</si>
  <si>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t>The actual start date of row number {1} in the {2} sheet is out of the project duration.</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</si>
  <si>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</si>
  <si>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t>The actual start or finish date of row number {1} in the {2} sheet is out of the project duration.</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</si>
  <si>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</si>
  <si>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t>The count of level</t>
  </si>
  <si>
    <r>
      <t>Level</t>
    </r>
    <r>
      <rPr>
        <sz val="9"/>
        <color theme="1"/>
        <rFont val="맑은 고딕"/>
        <family val="2"/>
      </rPr>
      <t>의</t>
    </r>
    <r>
      <rPr>
        <sz val="9"/>
        <color theme="1"/>
        <rFont val="Calibri"/>
        <family val="2"/>
      </rPr>
      <t xml:space="preserve"> </t>
    </r>
    <r>
      <rPr>
        <sz val="9"/>
        <color theme="1"/>
        <rFont val="맑은 고딕"/>
        <family val="2"/>
      </rPr>
      <t>갯수</t>
    </r>
  </si>
  <si>
    <t>The date field of row number {1} in the {2} sheet was entered, but the task field is empty.\nEnter a value in the task field or clear the date field.</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</si>
  <si>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</si>
  <si>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t>The deliverables name is empty.</t>
  </si>
  <si>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</si>
  <si>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t>The earliest start date({1}) of the tasks is earlier than the start date({2}) of the project.\n\nIn this case, there may be problems with resource calculations. Please change the start date to valid date.</t>
  </si>
  <si>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</si>
  <si>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t>The finish date format of row number {1} in the {2} sheet is invalid.</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</si>
  <si>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</si>
  <si>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t>The first column of Gantt area has been deleted. Please retry after changing the sheet to its previous state.</t>
  </si>
  <si>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</si>
  <si>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following file formats are not supported. You can import files with version 0.9.7 or higher than 0.9.7.</t>
  </si>
  <si>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</si>
  <si>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t>The following file formats are not supported. You can import the files if the version is 0.9.7 or higher than 0.9.7.</t>
  </si>
  <si>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</si>
  <si>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t>The following files have been successfully imported.</t>
  </si>
  <si>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</si>
  <si>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t>The following folder does not exist.</t>
  </si>
  <si>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</si>
  <si>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t>The format of "Calculation Base Date of Planned %Work Complete" is invalid.</t>
  </si>
  <si>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</si>
  <si>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t>The format of the project finish date is invalid.</t>
  </si>
  <si>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</si>
  <si>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t>The format of the project start date is invalid.</t>
  </si>
  <si>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</si>
  <si>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t>The job was not completed successfully.</t>
  </si>
  <si>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</si>
  <si>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t>The kind of period is invalid. You must enter one of the M(Months) or W(Weeks)</t>
  </si>
  <si>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</si>
  <si>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t>The language setting has been changed.\nPress the OK button to start translation. \nIt may take a long time to translate.\nHowever, translation of Ribbon menu and Popup menu takes effect after reopening this XLGantt file.</t>
    <phoneticPr fontId="5"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</si>
  <si>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5" type="noConversion"/>
  </si>
  <si>
    <t>The latest finish date({1}) of the tasks is later than the finish date({2}) of the project.\n\nIn this case, there may be problems with resource calculations. Please change the finish date to valid date.</t>
  </si>
  <si>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</si>
  <si>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t>The level of row {} is invalid.</t>
  </si>
  <si>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</si>
  <si>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t>The number of Level must be less than or equal to {}</t>
  </si>
  <si>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</si>
  <si>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t>The number of Level must be positive integer.</t>
  </si>
  <si>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</si>
  <si>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t>The number of task columns is not 7. Please retry after changing the sheet to its previous state.</t>
  </si>
  <si>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</si>
  <si>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process was terminated due to the {} sheet error.</t>
  </si>
  <si>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</si>
  <si>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t>The project finish date({}) you entered is not valid date format.</t>
  </si>
  <si>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</si>
  <si>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t>The project start date({}) you entered is not valid date format.</t>
  </si>
  <si>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</si>
  <si>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t>The start date format of row number {1} in the {2} sheet is invalid.</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</si>
  <si>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</si>
  <si>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t>The start date is later than the finish date.</t>
  </si>
  <si>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</si>
  <si>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t>The start date of row number {1} in the {2} sheet is later than the finish date.</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</si>
  <si>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</si>
  <si>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t>The start or finish date of row number {1} in the {2} sheet is out of the project duration.</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</si>
  <si>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</si>
  <si>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t>The task of the first row of the {} sheet is not level 1.</t>
  </si>
  <si>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</si>
  <si>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t>The type of task fields</t>
  </si>
  <si>
    <r>
      <t>Task</t>
    </r>
    <r>
      <rPr>
        <sz val="9"/>
        <color theme="1"/>
        <rFont val="맑은 고딕"/>
        <family val="2"/>
      </rPr>
      <t>필드</t>
    </r>
    <r>
      <rPr>
        <sz val="9"/>
        <color theme="1"/>
        <rFont val="Calibri"/>
        <family val="2"/>
      </rPr>
      <t xml:space="preserve"> </t>
    </r>
    <r>
      <rPr>
        <sz val="9"/>
        <color theme="1"/>
        <rFont val="맑은 고딕"/>
        <family val="2"/>
      </rPr>
      <t>유형</t>
    </r>
  </si>
  <si>
    <t>The weight of row number {1} in the {2} sheet is not a number.</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</si>
  <si>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</si>
  <si>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t>There are no executable programs that open the deliverables.</t>
  </si>
  <si>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</si>
  <si>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t>There is an error in the total workload or planned workload field of row number {1} in the {2} sheet. Please check that the start / finish date was entered correctly, or that the formula is correct.</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</si>
  <si>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</si>
  <si>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t>There is no data in the following files</t>
  </si>
  <si>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</si>
  <si>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t>There is no input data</t>
  </si>
  <si>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</si>
  <si>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t>There is no input data that will be calculated.</t>
  </si>
  <si>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</si>
  <si>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t>There is no input data.</t>
  </si>
  <si>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</si>
  <si>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t>There is no input data. Please enter after reformatting.</t>
  </si>
  <si>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</si>
  <si>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t>There was an error in "Progress Line" drawing. This can happen if the actual start date or actual finish date is beyond the project period. Check the message below.</t>
  </si>
  <si>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</si>
  <si>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t>This area can not be selected. Please select an area that contains tasks.</t>
  </si>
  <si>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</si>
  <si>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t>This Month only</t>
  </si>
  <si>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</si>
  <si>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t>This Week only</t>
  </si>
  <si>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</si>
  <si>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t>This XLGantt is not the latest version. Download the latest version from the following site.</t>
  </si>
  <si>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</si>
  <si>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t>Thu</t>
  </si>
  <si>
    <r>
      <rPr>
        <sz val="9"/>
        <color theme="1"/>
        <rFont val="맑은 고딕"/>
        <family val="2"/>
      </rPr>
      <t>목</t>
    </r>
  </si>
  <si>
    <t>Time bucket type is invalid.</t>
  </si>
  <si>
    <r>
      <t xml:space="preserve">Time bucket type </t>
    </r>
    <r>
      <rPr>
        <sz val="9"/>
        <color theme="1"/>
        <rFont val="맑은 고딕"/>
        <family val="2"/>
      </rPr>
      <t>오류입니다</t>
    </r>
    <r>
      <rPr>
        <sz val="9"/>
        <color theme="1"/>
        <rFont val="Calibri"/>
        <family val="2"/>
      </rPr>
      <t>.</t>
    </r>
  </si>
  <si>
    <t>To (XLGantt)</t>
  </si>
  <si>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</si>
  <si>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t>To Date is invalid.</t>
  </si>
  <si>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</si>
  <si>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t>To import files from source to the target file, map the respective fields.\nSelect a field in source file first and then find a corresponding field in the target file.</t>
  </si>
  <si>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</si>
  <si>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t>Today</t>
  </si>
  <si>
    <r>
      <rPr>
        <sz val="9"/>
        <color theme="1"/>
        <rFont val="맑은 고딕"/>
        <family val="2"/>
      </rPr>
      <t>오늘</t>
    </r>
  </si>
  <si>
    <t>Today only</t>
  </si>
  <si>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</si>
  <si>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t>Total Work(A)\nMan-day</t>
  </si>
  <si>
    <r>
      <rPr>
        <sz val="9"/>
        <color theme="1"/>
        <rFont val="맑은 고딕"/>
        <family val="2"/>
      </rPr>
      <t>총작업량</t>
    </r>
    <r>
      <rPr>
        <sz val="9"/>
        <color theme="1"/>
        <rFont val="Calibri"/>
        <family val="2"/>
      </rPr>
      <t>(A)\nMan-day</t>
    </r>
  </si>
  <si>
    <t>Total Work\n(Total ManDay)</t>
  </si>
  <si>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</si>
  <si>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t>Total workload of the project</t>
  </si>
  <si>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</si>
  <si>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t>Total__Duration</t>
    <phoneticPr fontId="5" type="noConversion"/>
  </si>
  <si>
    <r>
      <rPr>
        <sz val="9"/>
        <color theme="1"/>
        <rFont val="돋움"/>
        <family val="3"/>
        <charset val="129"/>
      </rPr>
      <t>총</t>
    </r>
    <r>
      <rPr>
        <sz val="9"/>
        <color theme="1"/>
        <rFont val="Calibri"/>
        <family val="2"/>
      </rPr>
      <t>__</t>
    </r>
    <r>
      <rPr>
        <sz val="9"/>
        <color theme="1"/>
        <rFont val="돋움"/>
        <family val="3"/>
        <charset val="129"/>
      </rPr>
      <t>기간</t>
    </r>
    <phoneticPr fontId="5" type="noConversion"/>
  </si>
  <si>
    <t>Total__Work</t>
    <phoneticPr fontId="5" type="noConversion"/>
  </si>
  <si>
    <r>
      <rPr>
        <sz val="9"/>
        <color theme="1"/>
        <rFont val="돋움"/>
        <family val="3"/>
        <charset val="129"/>
      </rPr>
      <t>총</t>
    </r>
    <r>
      <rPr>
        <sz val="9"/>
        <color theme="1"/>
        <rFont val="Calibri"/>
        <family val="2"/>
      </rPr>
      <t>__</t>
    </r>
    <r>
      <rPr>
        <sz val="9"/>
        <color theme="1"/>
        <rFont val="돋움"/>
        <family val="3"/>
        <charset val="129"/>
      </rPr>
      <t>작업량</t>
    </r>
    <phoneticPr fontId="5" type="noConversion"/>
  </si>
  <si>
    <t>Total\nDuration</t>
  </si>
  <si>
    <r>
      <t>총</t>
    </r>
    <r>
      <rPr>
        <sz val="10"/>
        <color theme="1"/>
        <rFont val="Calibri"/>
        <family val="2"/>
      </rPr>
      <t>\n</t>
    </r>
    <r>
      <rPr>
        <sz val="10"/>
        <color theme="1"/>
        <rFont val="돋움"/>
        <family val="3"/>
        <charset val="129"/>
      </rPr>
      <t>기간</t>
    </r>
  </si>
  <si>
    <t>Total\nWork</t>
  </si>
  <si>
    <r>
      <rPr>
        <sz val="9"/>
        <color theme="1"/>
        <rFont val="맑은 고딕"/>
        <family val="2"/>
      </rPr>
      <t>총</t>
    </r>
    <r>
      <rPr>
        <sz val="9"/>
        <color theme="1"/>
        <rFont val="Calibri"/>
        <family val="2"/>
      </rPr>
      <t>\n</t>
    </r>
    <r>
      <rPr>
        <sz val="9"/>
        <color theme="1"/>
        <rFont val="맑은 고딕"/>
        <family val="2"/>
      </rPr>
      <t>작업량</t>
    </r>
  </si>
  <si>
    <t>Tue</t>
  </si>
  <si>
    <r>
      <rPr>
        <sz val="9"/>
        <color theme="1"/>
        <rFont val="맑은 고딕"/>
        <family val="2"/>
      </rPr>
      <t>화</t>
    </r>
  </si>
  <si>
    <t>Type a number between 0% and 100% in "%Work Complete" field of row number {1} in the {2} sheet.</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</si>
  <si>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</si>
  <si>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t>UI Design</t>
  </si>
  <si>
    <r>
      <rPr>
        <sz val="9"/>
        <color theme="1"/>
        <rFont val="맑은 고딕"/>
        <family val="2"/>
      </rPr>
      <t>화면설계</t>
    </r>
  </si>
  <si>
    <t>Unable to open file. Please change the "Check if you save deliverables in specific directory" option to the checked state in the Setting&gt;Deliverables tab.</t>
  </si>
  <si>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</si>
  <si>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t>Update Schedule</t>
  </si>
  <si>
    <r>
      <rPr>
        <sz val="9"/>
        <color theme="1"/>
        <rFont val="맑은 고딕"/>
        <family val="2"/>
      </rPr>
      <t>스케줄업데이트</t>
    </r>
  </si>
  <si>
    <t>Updates</t>
  </si>
  <si>
    <r>
      <rPr>
        <sz val="9"/>
        <color theme="1"/>
        <rFont val="맑은 고딕"/>
        <family val="2"/>
      </rPr>
      <t>업데이트</t>
    </r>
    <r>
      <rPr>
        <sz val="9"/>
        <color theme="1"/>
        <rFont val="Calibri"/>
        <family val="2"/>
      </rPr>
      <t xml:space="preserve"> </t>
    </r>
    <r>
      <rPr>
        <sz val="9"/>
        <color theme="1"/>
        <rFont val="맑은 고딕"/>
        <family val="2"/>
      </rPr>
      <t>내용</t>
    </r>
  </si>
  <si>
    <t>Updating schedule... \nplease wait...</t>
  </si>
  <si>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</si>
  <si>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t>User Defined Calendar 1</t>
  </si>
  <si>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</si>
  <si>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t>User Defined Calendar 2</t>
  </si>
  <si>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</si>
  <si>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t>Variance(Actual-Planned)</t>
  </si>
  <si>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</si>
  <si>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t>WBS</t>
  </si>
  <si>
    <t>WBS Area Display</t>
  </si>
  <si>
    <r>
      <t>WBS</t>
    </r>
    <r>
      <rPr>
        <sz val="9"/>
        <color theme="1"/>
        <rFont val="맑은 고딕"/>
        <family val="2"/>
      </rPr>
      <t>영역</t>
    </r>
    <r>
      <rPr>
        <sz val="9"/>
        <color theme="1"/>
        <rFont val="Calibri"/>
        <family val="2"/>
      </rPr>
      <t xml:space="preserve"> </t>
    </r>
    <r>
      <rPr>
        <sz val="9"/>
        <color theme="1"/>
        <rFont val="맑은 고딕"/>
        <family val="2"/>
      </rPr>
      <t>표시방법</t>
    </r>
  </si>
  <si>
    <t>WBS Level is invalid. Enter a number only. Verify row {} of the source file.</t>
  </si>
  <si>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</si>
  <si>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t>WBS No.</t>
  </si>
  <si>
    <t>WBS,Gantt Chart</t>
  </si>
  <si>
    <t>Wed</t>
  </si>
  <si>
    <r>
      <rPr>
        <sz val="9"/>
        <color theme="1"/>
        <rFont val="맑은 고딕"/>
        <family val="2"/>
      </rPr>
      <t>수</t>
    </r>
  </si>
  <si>
    <t>Weekly</t>
  </si>
  <si>
    <r>
      <rPr>
        <sz val="9"/>
        <color theme="1"/>
        <rFont val="맑은 고딕"/>
        <family val="2"/>
      </rPr>
      <t>주별</t>
    </r>
  </si>
  <si>
    <t>Weekly view</t>
  </si>
  <si>
    <r>
      <rPr>
        <sz val="9"/>
        <color theme="1"/>
        <rFont val="맑은 고딕"/>
        <family val="2"/>
      </rPr>
      <t>주별보기</t>
    </r>
  </si>
  <si>
    <t>Weeks</t>
  </si>
  <si>
    <t>Weight</t>
  </si>
  <si>
    <r>
      <rPr>
        <sz val="9"/>
        <color theme="1"/>
        <rFont val="맑은 고딕"/>
        <family val="2"/>
      </rPr>
      <t>가중치</t>
    </r>
  </si>
  <si>
    <t>Weight is invalid.</t>
  </si>
  <si>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</si>
  <si>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t>Weight must be greater than zero.</t>
  </si>
  <si>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</si>
  <si>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t>Word</t>
  </si>
  <si>
    <r>
      <rPr>
        <sz val="9"/>
        <color theme="1"/>
        <rFont val="맑은 고딕"/>
        <family val="2"/>
      </rPr>
      <t>워드</t>
    </r>
  </si>
  <si>
    <t>Workload\n(Man-Day)</t>
  </si>
  <si>
    <t>Workload\n(Man-Month)</t>
  </si>
  <si>
    <t>Workloads by {}</t>
  </si>
  <si>
    <r>
      <t>Workload</t>
    </r>
    <r>
      <rPr>
        <sz val="9"/>
        <color theme="1"/>
        <rFont val="맑은 고딕"/>
        <family val="2"/>
      </rPr>
      <t>현황</t>
    </r>
    <r>
      <rPr>
        <sz val="9"/>
        <color theme="1"/>
        <rFont val="Calibri"/>
        <family val="2"/>
      </rPr>
      <t>({})</t>
    </r>
  </si>
  <si>
    <t>Workloads by Months</t>
  </si>
  <si>
    <r>
      <t>Workload(</t>
    </r>
    <r>
      <rPr>
        <sz val="9"/>
        <color theme="1"/>
        <rFont val="맑은 고딕"/>
        <family val="2"/>
      </rPr>
      <t>월별</t>
    </r>
    <r>
      <rPr>
        <sz val="9"/>
        <color theme="1"/>
        <rFont val="Calibri"/>
        <family val="2"/>
      </rPr>
      <t>)</t>
    </r>
  </si>
  <si>
    <t>Workloads by Resouces</t>
  </si>
  <si>
    <r>
      <t>Workload(</t>
    </r>
    <r>
      <rPr>
        <sz val="9"/>
        <color theme="1"/>
        <rFont val="맑은 고딕"/>
        <family val="2"/>
      </rPr>
      <t>담당별</t>
    </r>
    <r>
      <rPr>
        <sz val="9"/>
        <color theme="1"/>
        <rFont val="Calibri"/>
        <family val="2"/>
      </rPr>
      <t>)</t>
    </r>
  </si>
  <si>
    <t>Workloads by Weeks</t>
  </si>
  <si>
    <r>
      <t>Workload(</t>
    </r>
    <r>
      <rPr>
        <sz val="9"/>
        <color theme="1"/>
        <rFont val="맑은 고딕"/>
        <family val="2"/>
      </rPr>
      <t>주별</t>
    </r>
    <r>
      <rPr>
        <sz val="9"/>
        <color theme="1"/>
        <rFont val="Calibri"/>
        <family val="2"/>
      </rPr>
      <t>)</t>
    </r>
  </si>
  <si>
    <t>Worloads by Resources</t>
  </si>
  <si>
    <t>Would you like to update the schedule before saving?</t>
    <phoneticPr fontId="5"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</si>
  <si>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5" type="noConversion"/>
  </si>
  <si>
    <t>XLGantt Version Check</t>
  </si>
  <si>
    <t>You are using the latest version of XLGantt.\nCurrent Verison : {}</t>
  </si>
  <si>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</si>
  <si>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t>You can add "Outlook Appointments" only on the {} sheet.</t>
  </si>
  <si>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</si>
  <si>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t>You can add "Outlook Tasks" only on the {} sheet.</t>
  </si>
  <si>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</si>
  <si>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t>You can edit task only on the {} sheet.</t>
  </si>
  <si>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</si>
  <si>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t>You can indent or outdent tasks only on the {} sheet.</t>
  </si>
  <si>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</si>
  <si>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t>You can not add "Outlook Appointments" in the selected area.</t>
  </si>
  <si>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</si>
  <si>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You can not add "Outlook Tasks" in the selected area.</t>
  </si>
  <si>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</si>
  <si>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You can not add a column between column A and C because the range is reserved by XLGantt.</t>
  </si>
  <si>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</si>
  <si>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You can not edit a task in the selected area.</t>
  </si>
  <si>
    <t>You can not enter any more.</t>
  </si>
  <si>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</si>
  <si>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t>You can not indent any more!</t>
  </si>
  <si>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</si>
  <si>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You can not indent or outdent the selected row.</t>
  </si>
  <si>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</si>
  <si>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You can not outdent any more!</t>
  </si>
  <si>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</si>
  <si>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You can not use "Microsoft Outlook". \nMake sure you properly installed it.</t>
  </si>
  <si>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</si>
  <si>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t>You can open deliverables only on the {} Sheet.</t>
  </si>
  <si>
    <t>You can use only start and finish dates. So you can not manage schedule changes.</t>
  </si>
  <si>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</si>
  <si>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t xml:space="preserve">You can use start and finish dates, actual start and finish dates. You can identify the schedule is delayed or aheaded by entering actual start and finish dates. </t>
  </si>
  <si>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</si>
  <si>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t>You can't choose a field that is empty.</t>
  </si>
  <si>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</si>
  <si>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You can't import an Excel Macro file. Please import after saving it as an xls or xlsx file. If it is an XLGantt file, you can import it at the menu "Import files created in XLGantt"</t>
  </si>
  <si>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</si>
  <si>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t>You can't remove the default languages(English and Korean).</t>
  </si>
  <si>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</si>
  <si>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You didn't choose a language.</t>
  </si>
  <si>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</si>
  <si>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t>You didn't choose a source field.</t>
  </si>
  <si>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</si>
  <si>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t>You didn't choose a target field.</t>
  </si>
  <si>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</si>
  <si>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t>You didn't choose an unmap item.</t>
  </si>
  <si>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</si>
  <si>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t>You selected {} areas. Please select only one area.</t>
  </si>
  <si>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</si>
  <si>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t>Group rows</t>
    <phoneticPr fontId="2" type="noConversion"/>
  </si>
  <si>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</si>
  <si>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wbs</t>
  </si>
  <si>
    <t>task</t>
  </si>
  <si>
    <t>resource</t>
  </si>
  <si>
    <t>start</t>
  </si>
  <si>
    <t>finish</t>
  </si>
  <si>
    <t>timebucket_start</t>
  </si>
  <si>
    <t>timebucket_finish</t>
  </si>
  <si>
    <t>workload</t>
  </si>
  <si>
    <t>1.1.1</t>
  </si>
  <si>
    <t>프로젝트 착수</t>
  </si>
  <si>
    <t>홍길동</t>
  </si>
  <si>
    <t>1.1.2.1</t>
  </si>
  <si>
    <t>프로젝트 계획 수립</t>
  </si>
  <si>
    <t>김길동</t>
  </si>
  <si>
    <t>이길동</t>
  </si>
  <si>
    <t>1.1.2.2</t>
  </si>
  <si>
    <t>착수보고(Kick off)</t>
  </si>
  <si>
    <t>1.2.1</t>
  </si>
  <si>
    <t>월간보고1</t>
  </si>
  <si>
    <t>1.2.2</t>
  </si>
  <si>
    <t>월간보고2</t>
  </si>
  <si>
    <t>1.2.3</t>
  </si>
  <si>
    <t>월간보고3</t>
  </si>
  <si>
    <t>[담당자미지정]</t>
  </si>
  <si>
    <t>1.2.4</t>
  </si>
  <si>
    <t>중간보고</t>
  </si>
  <si>
    <t>1.3.1</t>
  </si>
  <si>
    <t>종료계획수립</t>
  </si>
  <si>
    <t>1.3.2</t>
  </si>
  <si>
    <t>시스템 인수인계</t>
  </si>
  <si>
    <t>1.3.3</t>
  </si>
  <si>
    <t>종료보고</t>
  </si>
  <si>
    <t>1.3.4</t>
  </si>
  <si>
    <t>검수 및 종료</t>
  </si>
  <si>
    <t>2.1.1</t>
  </si>
  <si>
    <t>요구사항정의</t>
  </si>
  <si>
    <t>박길동</t>
  </si>
  <si>
    <t>정길동</t>
  </si>
  <si>
    <t>최길동</t>
  </si>
  <si>
    <t>2.1.2.1</t>
  </si>
  <si>
    <t>프로세스모델링</t>
  </si>
  <si>
    <t>2.1.2.2</t>
  </si>
  <si>
    <t>데이터모델링</t>
  </si>
  <si>
    <t>2.2.1</t>
  </si>
  <si>
    <t>UI 설계</t>
  </si>
  <si>
    <t>유아인</t>
  </si>
  <si>
    <t>2.2.2.1</t>
  </si>
  <si>
    <t>Architecture설계</t>
  </si>
  <si>
    <t>김아키</t>
  </si>
  <si>
    <t>2.2.2.2</t>
  </si>
  <si>
    <t>데이터베이스설계</t>
  </si>
  <si>
    <t>김디비</t>
  </si>
  <si>
    <t>2.2.2.3</t>
  </si>
  <si>
    <t>프로그램설계</t>
  </si>
  <si>
    <t>김프로</t>
  </si>
  <si>
    <t>2.2.3</t>
  </si>
  <si>
    <t>테스트 설계</t>
  </si>
  <si>
    <t>2.3.1.1</t>
  </si>
  <si>
    <t>단위테스트시나리오작성</t>
  </si>
  <si>
    <t>2.3.1.2.1.1</t>
  </si>
  <si>
    <t>프로그램A</t>
  </si>
  <si>
    <t>이개발</t>
  </si>
  <si>
    <t>2.3.1.2.1.2</t>
  </si>
  <si>
    <t>프로그램B</t>
  </si>
  <si>
    <t>박개발</t>
  </si>
  <si>
    <t>2.3.1.2.1.3</t>
  </si>
  <si>
    <t>프로그램C</t>
  </si>
  <si>
    <t>2.3.1.2.2</t>
  </si>
  <si>
    <t>모듈B</t>
  </si>
  <si>
    <t>2.3.1.2.3</t>
  </si>
  <si>
    <t>모듈C</t>
  </si>
  <si>
    <t>2.3.1.2.4</t>
  </si>
  <si>
    <t>모듈D</t>
  </si>
  <si>
    <t>2.3.2.1</t>
  </si>
  <si>
    <t>통합테스트실시</t>
  </si>
  <si>
    <t>2.3.2.2</t>
  </si>
  <si>
    <t>시스템테스트실시</t>
  </si>
  <si>
    <t>2.4.1.1</t>
  </si>
  <si>
    <t>Release 및 Contingency plan수립</t>
  </si>
  <si>
    <t>2.4.2.1</t>
  </si>
  <si>
    <t>데이터베이스구축</t>
  </si>
  <si>
    <t>2.4.2.2</t>
  </si>
  <si>
    <t>소프트웨어설치</t>
  </si>
  <si>
    <t>2.4.2.3</t>
  </si>
  <si>
    <t>인수테스트실시</t>
  </si>
  <si>
    <t>2.4.2.4</t>
  </si>
  <si>
    <t>시스템오픈</t>
  </si>
  <si>
    <t>Total</t>
  </si>
  <si>
    <t>reserved</t>
    <phoneticPr fontId="5" type="noConversion"/>
  </si>
  <si>
    <t>task_group</t>
    <phoneticPr fontId="5" type="noConversion"/>
  </si>
  <si>
    <t>wbs_level</t>
    <phoneticPr fontId="5" type="noConversion"/>
  </si>
  <si>
    <t>WBS</t>
    <phoneticPr fontId="5" type="noConversion"/>
  </si>
  <si>
    <t>작업*</t>
    <phoneticPr fontId="5" type="noConversion"/>
  </si>
  <si>
    <t>비고</t>
    <phoneticPr fontId="5" type="noConversion"/>
  </si>
  <si>
    <t>시작일*</t>
    <phoneticPr fontId="5" type="noConversion"/>
  </si>
  <si>
    <t>완료일*</t>
    <phoneticPr fontId="5" type="noConversion"/>
  </si>
  <si>
    <t>Calendar</t>
    <phoneticPr fontId="5" type="noConversion"/>
  </si>
  <si>
    <t>총_x000D_
작업량</t>
    <phoneticPr fontId="5" type="noConversion"/>
  </si>
  <si>
    <t>계획_x000D_
작업량</t>
    <phoneticPr fontId="5" type="noConversion"/>
  </si>
  <si>
    <t>총_x000D_
기간</t>
    <phoneticPr fontId="5" type="noConversion"/>
  </si>
  <si>
    <t>계획_x000D_
기간</t>
    <phoneticPr fontId="5" type="noConversion"/>
  </si>
  <si>
    <t>실제_x000D_
시작일</t>
    <phoneticPr fontId="5" type="noConversion"/>
  </si>
  <si>
    <t>실제_x000D_
완료일</t>
    <phoneticPr fontId="5" type="noConversion"/>
  </si>
  <si>
    <t>실제_x000D_
총작업량</t>
    <phoneticPr fontId="5" type="noConversion"/>
  </si>
  <si>
    <t>실제_x000D_
총기간</t>
    <phoneticPr fontId="5" type="noConversion"/>
  </si>
  <si>
    <t>가중치</t>
    <phoneticPr fontId="5" type="noConversion"/>
  </si>
  <si>
    <t>담당</t>
    <phoneticPr fontId="5" type="noConversion"/>
  </si>
  <si>
    <t>산출물</t>
    <phoneticPr fontId="5" type="noConversion"/>
  </si>
  <si>
    <t>계획</t>
    <phoneticPr fontId="5" type="noConversion"/>
  </si>
  <si>
    <t>실적*</t>
    <phoneticPr fontId="5" type="noConversion"/>
  </si>
  <si>
    <t>G</t>
  </si>
  <si>
    <t>1</t>
  </si>
  <si>
    <t>프로젝트 관리</t>
  </si>
  <si>
    <t>1.1</t>
  </si>
  <si>
    <t>프로젝트 착수 및 계획수립</t>
  </si>
  <si>
    <t>1.1.2</t>
  </si>
  <si>
    <t>프로젝트 범위정의</t>
  </si>
  <si>
    <t>1.2</t>
  </si>
  <si>
    <t>1.3</t>
  </si>
  <si>
    <t>프로젝트 종료</t>
  </si>
  <si>
    <t>프로젝트 진행율 - 일정변경 관리하지 않을때</t>
    <phoneticPr fontId="5" type="noConversion"/>
  </si>
  <si>
    <t>* 프로젝트 작업량과 진척율을 보여줍니다.</t>
    <phoneticPr fontId="5" type="noConversion"/>
  </si>
  <si>
    <t>* "스케줄업데이트" 버튼 클릭 시 아래 항목이 자동계산됩니다.</t>
    <phoneticPr fontId="5" type="noConversion"/>
  </si>
  <si>
    <t>프로젝트 전체 작업량</t>
    <phoneticPr fontId="5" type="noConversion"/>
  </si>
  <si>
    <t>Man/Day</t>
    <phoneticPr fontId="5" type="noConversion"/>
  </si>
  <si>
    <t>프로젝트 전체의 작업량을 Man/Day로 표시한다. 가중치를 적용한 값이다.</t>
    <phoneticPr fontId="5" type="noConversion"/>
  </si>
  <si>
    <t>현재일까지 계획된 작업량</t>
    <phoneticPr fontId="5" type="noConversion"/>
  </si>
  <si>
    <t>해당작업의 시작일부터 현재일까지의 작업기간을 의미함(현재 날짜까지 진행되었어야 할 기간)</t>
    <phoneticPr fontId="5" type="noConversion"/>
  </si>
  <si>
    <t>실제 진행된 작업량</t>
    <phoneticPr fontId="5" type="noConversion"/>
  </si>
  <si>
    <t>일정변경관리 하지 않을 때 현재까지 실제로 진행된 작업기간을 표시함(총기간 x 총실적진행율)</t>
    <phoneticPr fontId="5" type="noConversion"/>
  </si>
  <si>
    <t>일정변경 관리할 때 현재까지 실제로 투입된 작업기간을 표시함</t>
    <phoneticPr fontId="5" type="noConversion"/>
  </si>
  <si>
    <t>계획 진척율(A)</t>
    <phoneticPr fontId="5" type="noConversion"/>
  </si>
  <si>
    <t>현재날짜까지 계획된 진척율, WBS의 "계획진척율"의 전체 합계 진척율을 표시함</t>
    <phoneticPr fontId="5" type="noConversion"/>
  </si>
  <si>
    <t>실적 진척율(B)</t>
    <phoneticPr fontId="5" type="noConversion"/>
  </si>
  <si>
    <t>현재날짜까지 실제로 진행된 진척율, WBS의 "실적진척율"의 전체 합계 진척율을 표시함</t>
    <phoneticPr fontId="5" type="noConversion"/>
  </si>
  <si>
    <t>차이(B-A)</t>
    <phoneticPr fontId="5" type="noConversion"/>
  </si>
  <si>
    <t>양수이면 계획보다 빨리 진행, 음수이면 지연</t>
    <phoneticPr fontId="5" type="noConversion"/>
  </si>
  <si>
    <t>계획진척율(주별)</t>
  </si>
  <si>
    <t>* 주별로 프로젝트의 계획진적율을 보여줍니다.</t>
  </si>
  <si>
    <t>* "계획진척율" 메뉴를 클릭해야 갱신됨</t>
  </si>
  <si>
    <t>시작일</t>
  </si>
  <si>
    <t>완료일</t>
  </si>
  <si>
    <t>누적_x000D_
Man-Day</t>
  </si>
  <si>
    <t>진척율</t>
  </si>
  <si>
    <t xml:space="preserve"> 프로젝트 휴무일 Calendar 설정</t>
    <phoneticPr fontId="5"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</si>
  <si>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5" type="noConversion"/>
  </si>
  <si>
    <t>표준캘린더</t>
    <phoneticPr fontId="5" type="noConversion"/>
  </si>
  <si>
    <t>사용자정의 캘린더1</t>
    <phoneticPr fontId="5" type="noConversion"/>
  </si>
  <si>
    <t>사용자정의 캘린더2</t>
    <phoneticPr fontId="5" type="noConversion"/>
  </si>
  <si>
    <t>휴무일명</t>
    <phoneticPr fontId="5" type="noConversion"/>
  </si>
  <si>
    <t>휴무일자</t>
    <phoneticPr fontId="5" type="noConversion"/>
  </si>
  <si>
    <r>
      <t>2018</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</si>
  <si>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2018</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</si>
  <si>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</si>
  <si>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2018</t>
    </r>
    <r>
      <rPr>
        <sz val="11"/>
        <rFont val="맑은 고딕"/>
        <family val="3"/>
        <charset val="129"/>
      </rPr>
      <t>년</t>
    </r>
    <r>
      <rPr>
        <sz val="11"/>
        <rFont val="Calibri"/>
        <family val="2"/>
      </rPr>
      <t xml:space="preserve"> </t>
    </r>
    <r>
      <rPr>
        <sz val="11"/>
        <rFont val="맑은 고딕"/>
        <family val="3"/>
        <charset val="129"/>
      </rPr>
      <t>삼일절</t>
    </r>
    <phoneticPr fontId="2" type="noConversion"/>
  </si>
  <si>
    <r>
      <t>2018</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</si>
  <si>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부처님오신날</t>
    </r>
    <phoneticPr fontId="2" type="noConversion"/>
  </si>
  <si>
    <r>
      <t>2018</t>
    </r>
    <r>
      <rPr>
        <sz val="11"/>
        <rFont val="맑은 고딕"/>
        <family val="3"/>
        <charset val="129"/>
      </rPr>
      <t>년</t>
    </r>
    <r>
      <rPr>
        <sz val="11"/>
        <rFont val="Calibri"/>
        <family val="2"/>
      </rPr>
      <t xml:space="preserve"> </t>
    </r>
    <r>
      <rPr>
        <sz val="11"/>
        <rFont val="맑은 고딕"/>
        <family val="3"/>
        <charset val="129"/>
      </rPr>
      <t>현충일</t>
    </r>
    <phoneticPr fontId="2" type="noConversion"/>
  </si>
  <si>
    <r>
      <t>2018</t>
    </r>
    <r>
      <rPr>
        <sz val="11"/>
        <rFont val="맑은 고딕"/>
        <family val="3"/>
        <charset val="129"/>
      </rPr>
      <t>년</t>
    </r>
    <r>
      <rPr>
        <sz val="11"/>
        <rFont val="Calibri"/>
        <family val="2"/>
      </rPr>
      <t xml:space="preserve"> </t>
    </r>
    <r>
      <rPr>
        <sz val="11"/>
        <rFont val="맑은 고딕"/>
        <family val="3"/>
        <charset val="129"/>
      </rPr>
      <t>광복절</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</si>
  <si>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</si>
  <si>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</si>
  <si>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</si>
  <si>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개천절</t>
    </r>
    <phoneticPr fontId="2" type="noConversion"/>
  </si>
  <si>
    <r>
      <t>2018</t>
    </r>
    <r>
      <rPr>
        <sz val="11"/>
        <rFont val="맑은 고딕"/>
        <family val="3"/>
        <charset val="129"/>
      </rPr>
      <t>년</t>
    </r>
    <r>
      <rPr>
        <sz val="11"/>
        <rFont val="Calibri"/>
        <family val="2"/>
      </rPr>
      <t xml:space="preserve"> </t>
    </r>
    <r>
      <rPr>
        <sz val="11"/>
        <rFont val="맑은 고딕"/>
        <family val="3"/>
        <charset val="129"/>
      </rPr>
      <t>한글날</t>
    </r>
    <phoneticPr fontId="2" type="noConversion"/>
  </si>
  <si>
    <r>
      <t>2018</t>
    </r>
    <r>
      <rPr>
        <sz val="11"/>
        <rFont val="맑은 고딕"/>
        <family val="3"/>
        <charset val="129"/>
      </rPr>
      <t>년</t>
    </r>
    <r>
      <rPr>
        <sz val="11"/>
        <rFont val="Calibri"/>
        <family val="2"/>
      </rPr>
      <t xml:space="preserve"> </t>
    </r>
    <r>
      <rPr>
        <sz val="11"/>
        <rFont val="맑은 고딕"/>
        <family val="3"/>
        <charset val="129"/>
      </rPr>
      <t>성탄절</t>
    </r>
    <phoneticPr fontId="2"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</si>
  <si>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</si>
  <si>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</si>
  <si>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</si>
  <si>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</si>
  <si>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</si>
  <si>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</si>
  <si>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</si>
  <si>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</si>
  <si>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</si>
  <si>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</si>
  <si>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</si>
  <si>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</si>
  <si>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더 이상 입력불가</t>
    <phoneticPr fontId="5" type="noConversion"/>
  </si>
  <si>
    <t xml:space="preserve">  XLGantt 2.1.0 ��XLWorks</t>
  </si>
  <si>
    <t>Win Form UI</t>
  </si>
  <si>
    <t>C# Server</t>
  </si>
  <si>
    <t>DB</t>
  </si>
  <si>
    <t>통신</t>
  </si>
  <si>
    <t>라즈베리파이</t>
  </si>
  <si>
    <t>이미지 프로세싱</t>
  </si>
  <si>
    <t>모터 제어</t>
  </si>
  <si>
    <t>발표</t>
  </si>
  <si>
    <r>
      <t xml:space="preserve">  </t>
    </r>
    <r>
      <rPr>
        <b/>
        <sz val="9"/>
        <color rgb="FFFF8800"/>
        <rFont val="맑은 고딕"/>
        <family val="2"/>
      </rPr>
      <t>주별보기</t>
    </r>
    <r>
      <rPr>
        <b/>
        <sz val="9"/>
        <color rgb="FFFF8800"/>
        <rFont val="Calibri"/>
        <family val="2"/>
      </rPr>
      <t>, Zoom 100%</t>
    </r>
  </si>
  <si>
    <t>프로젝트 수행</t>
  </si>
  <si>
    <t>1.2.2.1</t>
  </si>
  <si>
    <t>1.2.2.2</t>
  </si>
  <si>
    <t>1.2.3.1</t>
  </si>
  <si>
    <t>1.2.3.2</t>
  </si>
  <si>
    <t>프로젝트 검증</t>
  </si>
  <si>
    <t>전체 기능 검증</t>
  </si>
  <si>
    <t>1.4</t>
  </si>
  <si>
    <t>1.4.1</t>
  </si>
  <si>
    <t>무결점 프로젝트</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</si>
</sst>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0"/>
    <numFmt numFmtId="178" formatCode="mm\/dd"/>
    <numFmt numFmtId="179" formatCode="0.0_);[Red]\(0.0\)"/>
    <numFmt numFmtId="180" formatCode="0.00_);[Red]\(0.00\)"/>
  </numFmts>
  <fonts count="48">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6"/>
      <color rgb="FF0070C0"/>
      <name val="맑은 고딕"/>
      <family val="2"/>
      <charset val="129"/>
      <scheme val="minor"/>
    </font>
    <font>
      <b/>
      <sz val="12"/>
      <color rgb="FF0070C0"/>
      <name val="맑은 고딕"/>
      <family val="2"/>
      <charset val="129"/>
      <scheme val="minor"/>
    </font>
    <font>
      <b/>
      <sz val="14"/>
      <color rgb="FF0070C0"/>
      <name val="맑은 고딕"/>
      <family val="2"/>
      <charset val="129"/>
      <scheme val="minor"/>
    </font>
    <font>
      <sz val="11"/>
      <color rgb="FF0070C0"/>
      <name val="맑은 고딕"/>
      <family val="2"/>
      <charset val="129"/>
      <scheme val="minor"/>
    </font>
    <font>
      <b/>
      <sz val="10"/>
      <color rgb="FF0070C0"/>
      <name val="맑은 고딕"/>
      <family val="2"/>
      <charset val="129"/>
      <scheme val="minor"/>
    </font>
    <font>
      <b/>
      <sz val="16"/>
      <name val="맑은 고딕"/>
      <family val="2"/>
      <scheme val="minor"/>
    </font>
    <font>
      <b/>
      <sz val="16"/>
      <color theme="1" tint="0.34998626667073579"/>
      <name val="맑은 고딕"/>
      <family val="2"/>
      <scheme val="minor"/>
    </font>
    <font>
      <b/>
      <sz val="12"/>
      <color theme="1" tint="0.34998626667073579"/>
      <name val="맑은 고딕"/>
      <family val="2"/>
      <scheme val="minor"/>
    </font>
    <font>
      <sz val="9"/>
      <color theme="1" tint="0.34998626667073579"/>
      <name val="맑은 고딕"/>
      <family val="2"/>
      <scheme val="minor"/>
    </font>
    <font>
      <b/>
      <sz val="9"/>
      <color theme="1" tint="0.34998626667073579"/>
      <name val="맑은 고딕"/>
      <family val="2"/>
      <scheme val="minor"/>
    </font>
    <font>
      <sz val="9"/>
      <color theme="0"/>
      <name val="맑은 고딕"/>
      <family val="2"/>
      <scheme val="minor"/>
    </font>
    <font>
      <sz val="9"/>
      <name val="맑은 고딕"/>
      <family val="2"/>
      <scheme val="minor"/>
    </font>
    <font>
      <sz val="9"/>
      <color rgb="FFFF8800"/>
      <name val="맑은 고딕"/>
      <family val="2"/>
      <scheme val="minor"/>
    </font>
    <font>
      <b/>
      <sz val="9"/>
      <color rgb="FFFF8800"/>
      <name val="맑은 고딕"/>
      <family val="2"/>
    </font>
  </fonts>
  <fills count="1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s>
  <borders count="27">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6" fillId="0" borderId="0" applyFont="0" applyFill="0" applyBorder="0" applyAlignment="0" applyProtection="0">
      <alignment vertical="center"/>
    </xf>
    <xf numFmtId="0" fontId="6" fillId="0" borderId="0"/>
    <xf numFmtId="0" fontId="20" fillId="0" borderId="0"/>
    <xf numFmtId="9" fontId="23" fillId="0" borderId="0" applyFont="0" applyFill="0" applyBorder="0" applyAlignment="0" applyProtection="0">
      <alignment vertical="center"/>
    </xf>
  </cellStyleXfs>
  <cellXfs count="234">
    <xf numFmtId="0" fontId="0" fillId="0" borderId="0" xfId="0"/>
    <xf numFmtId="0" fontId="10" fillId="0" borderId="0" xfId="1" applyFont="1" applyFill="1" applyBorder="1" applyAlignment="1">
      <alignment vertical="center"/>
    </xf>
    <xf numFmtId="0" fontId="7" fillId="0" borderId="0" xfId="1" applyFont="1" applyFill="1" applyBorder="1" applyAlignment="1">
      <alignment vertical="center"/>
    </xf>
    <xf numFmtId="14" fontId="11" fillId="0" borderId="0" xfId="4" applyNumberFormat="1" applyFont="1" applyAlignment="1">
      <alignment vertical="center"/>
    </xf>
    <xf numFmtId="14" fontId="12" fillId="0" borderId="0" xfId="4" applyNumberFormat="1" applyFont="1" applyAlignment="1">
      <alignment vertical="center"/>
    </xf>
    <xf numFmtId="14" fontId="13" fillId="3" borderId="0" xfId="4" quotePrefix="1" applyNumberFormat="1" applyFont="1" applyFill="1"/>
    <xf numFmtId="14" fontId="13" fillId="3" borderId="0" xfId="4" applyNumberFormat="1" applyFont="1" applyFill="1" applyAlignment="1">
      <alignment vertical="center"/>
    </xf>
    <xf numFmtId="0" fontId="13" fillId="3" borderId="0" xfId="4" applyFont="1" applyFill="1"/>
    <xf numFmtId="176" fontId="15" fillId="3" borderId="0" xfId="4" applyNumberFormat="1" applyFont="1" applyFill="1" applyAlignment="1" applyProtection="1">
      <alignment vertical="center"/>
      <protection locked="0"/>
    </xf>
    <xf numFmtId="14" fontId="14" fillId="3" borderId="0" xfId="4" applyNumberFormat="1" applyFont="1" applyFill="1" applyAlignment="1">
      <alignment vertical="center"/>
    </xf>
    <xf numFmtId="14" fontId="13" fillId="0" borderId="11" xfId="4" applyNumberFormat="1" applyFont="1" applyBorder="1" applyAlignment="1" applyProtection="1">
      <alignment vertical="top"/>
      <protection locked="0"/>
    </xf>
    <xf numFmtId="14" fontId="13" fillId="0" borderId="11" xfId="4" applyNumberFormat="1" applyFont="1" applyBorder="1" applyAlignment="1" applyProtection="1">
      <alignment vertical="center"/>
      <protection locked="0"/>
    </xf>
    <xf numFmtId="0" fontId="13" fillId="0" borderId="11" xfId="4" applyFont="1" applyBorder="1" applyAlignment="1" applyProtection="1">
      <alignment vertical="top"/>
      <protection locked="0"/>
    </xf>
    <xf numFmtId="0" fontId="13" fillId="0" borderId="11" xfId="4" applyFont="1" applyBorder="1" applyAlignment="1" applyProtection="1">
      <alignment vertical="center" wrapText="1"/>
      <protection locked="0"/>
    </xf>
    <xf numFmtId="0" fontId="13" fillId="0" borderId="11" xfId="4" applyFont="1" applyBorder="1" applyAlignment="1" applyProtection="1">
      <alignment vertical="center"/>
      <protection locked="0"/>
    </xf>
    <xf numFmtId="0" fontId="13" fillId="0" borderId="0" xfId="4" applyFont="1" applyAlignment="1" applyProtection="1">
      <alignment vertical="top"/>
      <protection locked="0"/>
    </xf>
    <xf numFmtId="14" fontId="16" fillId="0" borderId="0" xfId="4" applyNumberFormat="1" applyFont="1" applyAlignment="1" applyProtection="1">
      <alignment horizontal="right" vertical="top"/>
      <protection locked="0"/>
    </xf>
    <xf numFmtId="180" fontId="13" fillId="6" borderId="12" xfId="4" applyNumberFormat="1" applyFont="1" applyFill="1" applyBorder="1" applyAlignment="1" applyProtection="1">
      <alignment vertical="center"/>
      <protection locked="0"/>
    </xf>
    <xf numFmtId="14" fontId="16" fillId="0" borderId="13" xfId="4" applyNumberFormat="1" applyFont="1" applyBorder="1" applyAlignment="1" applyProtection="1">
      <alignment horizontal="right" vertical="top"/>
      <protection locked="0"/>
    </xf>
    <xf numFmtId="14" fontId="13" fillId="0" borderId="13" xfId="4" applyNumberFormat="1" applyFont="1" applyBorder="1" applyAlignment="1" applyProtection="1">
      <alignment vertical="center"/>
      <protection locked="0"/>
    </xf>
    <xf numFmtId="0" fontId="13" fillId="0" borderId="13" xfId="4" applyFont="1" applyBorder="1" applyAlignment="1" applyProtection="1">
      <alignment vertical="top"/>
      <protection locked="0"/>
    </xf>
    <xf numFmtId="0" fontId="13" fillId="0" borderId="13" xfId="4" applyFont="1" applyBorder="1" applyAlignment="1" applyProtection="1">
      <alignment vertical="center"/>
      <protection locked="0"/>
    </xf>
    <xf numFmtId="14" fontId="16" fillId="0" borderId="0" xfId="4" applyNumberFormat="1" applyFont="1" applyAlignment="1" applyProtection="1">
      <alignment vertical="top"/>
      <protection locked="0"/>
    </xf>
    <xf numFmtId="14" fontId="13" fillId="0" borderId="0" xfId="4" applyNumberFormat="1" applyFont="1" applyAlignment="1" applyProtection="1">
      <alignment vertical="center"/>
      <protection locked="0"/>
    </xf>
    <xf numFmtId="0" fontId="13" fillId="0" borderId="14" xfId="4" applyFont="1" applyBorder="1" applyAlignment="1" applyProtection="1">
      <alignment vertical="center" wrapText="1"/>
      <protection locked="0"/>
    </xf>
    <xf numFmtId="14" fontId="13" fillId="0" borderId="0" xfId="4" applyNumberFormat="1" applyFont="1" applyAlignment="1" applyProtection="1">
      <alignment vertical="top"/>
      <protection locked="0"/>
    </xf>
    <xf numFmtId="14" fontId="16" fillId="0" borderId="13" xfId="4" applyNumberFormat="1" applyFont="1" applyBorder="1" applyAlignment="1" applyProtection="1">
      <alignment vertical="top"/>
      <protection locked="0"/>
    </xf>
    <xf numFmtId="0" fontId="13" fillId="0" borderId="13" xfId="4" applyFont="1" applyBorder="1" applyAlignment="1" applyProtection="1">
      <alignment vertical="center" wrapText="1"/>
      <protection locked="0"/>
    </xf>
    <xf numFmtId="14" fontId="16" fillId="0" borderId="14" xfId="4" applyNumberFormat="1" applyFont="1" applyBorder="1" applyAlignment="1" applyProtection="1">
      <alignment vertical="center" wrapText="1"/>
      <protection locked="0"/>
    </xf>
    <xf numFmtId="14" fontId="16" fillId="0" borderId="0" xfId="4" applyNumberFormat="1" applyFont="1" applyAlignment="1" applyProtection="1">
      <alignment horizontal="right" vertical="center" wrapText="1"/>
      <protection locked="0"/>
    </xf>
    <xf numFmtId="14" fontId="16" fillId="0" borderId="13" xfId="4" applyNumberFormat="1" applyFont="1" applyBorder="1" applyAlignment="1" applyProtection="1">
      <alignment vertical="center" wrapText="1"/>
      <protection locked="0"/>
    </xf>
    <xf numFmtId="0" fontId="13" fillId="0" borderId="13" xfId="4" applyFont="1" applyBorder="1" applyProtection="1">
      <protection locked="0"/>
    </xf>
    <xf numFmtId="0" fontId="13" fillId="0" borderId="0" xfId="4" applyFont="1" applyProtection="1">
      <protection locked="0"/>
    </xf>
    <xf numFmtId="14" fontId="13" fillId="0" borderId="0" xfId="4" applyNumberFormat="1" applyFont="1" applyProtection="1">
      <protection locked="0"/>
    </xf>
    <xf numFmtId="14" fontId="13" fillId="0" borderId="14" xfId="4" applyNumberFormat="1" applyFont="1" applyBorder="1" applyAlignment="1" applyProtection="1">
      <alignment vertical="center"/>
      <protection locked="0"/>
    </xf>
    <xf numFmtId="0" fontId="13" fillId="0" borderId="14" xfId="4" applyFont="1" applyBorder="1" applyProtection="1">
      <protection locked="0"/>
    </xf>
    <xf numFmtId="14" fontId="13" fillId="0" borderId="15" xfId="4" applyNumberFormat="1" applyFont="1" applyBorder="1" applyAlignment="1" applyProtection="1">
      <alignment vertical="center"/>
      <protection locked="0"/>
    </xf>
    <xf numFmtId="0" fontId="13" fillId="0" borderId="15" xfId="4" applyFont="1" applyBorder="1" applyAlignment="1" applyProtection="1">
      <alignment vertical="top"/>
      <protection locked="0"/>
    </xf>
    <xf numFmtId="14" fontId="16" fillId="0" borderId="14" xfId="4" applyNumberFormat="1" applyFont="1" applyBorder="1" applyProtection="1">
      <protection locked="0"/>
    </xf>
    <xf numFmtId="10" fontId="13" fillId="6" borderId="12" xfId="3" applyNumberFormat="1" applyFont="1" applyFill="1" applyBorder="1" applyAlignment="1" applyProtection="1">
      <alignment vertical="center"/>
      <protection locked="0"/>
    </xf>
    <xf numFmtId="14" fontId="16" fillId="0" borderId="15" xfId="4" applyNumberFormat="1" applyFont="1" applyBorder="1" applyAlignment="1" applyProtection="1">
      <alignment horizontal="right" vertical="top"/>
      <protection locked="0"/>
    </xf>
    <xf numFmtId="14" fontId="16" fillId="0" borderId="11" xfId="4" applyNumberFormat="1" applyFont="1" applyBorder="1" applyAlignment="1" applyProtection="1">
      <alignment horizontal="right" vertical="top"/>
      <protection locked="0"/>
    </xf>
    <xf numFmtId="14" fontId="16" fillId="0" borderId="16" xfId="4" applyNumberFormat="1" applyFont="1" applyBorder="1" applyAlignment="1" applyProtection="1">
      <alignment horizontal="right" vertical="top"/>
      <protection locked="0"/>
    </xf>
    <xf numFmtId="14" fontId="13" fillId="0" borderId="16" xfId="4" applyNumberFormat="1" applyFont="1" applyBorder="1" applyAlignment="1" applyProtection="1">
      <alignment vertical="center"/>
      <protection locked="0"/>
    </xf>
    <xf numFmtId="0" fontId="13" fillId="0" borderId="16" xfId="4" applyFont="1" applyBorder="1" applyAlignment="1" applyProtection="1">
      <alignment vertical="top"/>
      <protection locked="0"/>
    </xf>
    <xf numFmtId="14" fontId="16" fillId="0" borderId="17" xfId="4" applyNumberFormat="1" applyFont="1" applyBorder="1" applyAlignment="1" applyProtection="1">
      <alignment vertical="top"/>
      <protection locked="0"/>
    </xf>
    <xf numFmtId="14" fontId="13" fillId="0" borderId="17" xfId="4" applyNumberFormat="1" applyFont="1" applyBorder="1" applyAlignment="1" applyProtection="1">
      <alignment vertical="center"/>
      <protection locked="0"/>
    </xf>
    <xf numFmtId="0" fontId="13" fillId="0" borderId="17" xfId="4" applyFont="1" applyBorder="1" applyAlignment="1" applyProtection="1">
      <alignment vertical="top"/>
      <protection locked="0"/>
    </xf>
    <xf numFmtId="0" fontId="13" fillId="0" borderId="14" xfId="4" applyFont="1" applyBorder="1" applyAlignment="1" applyProtection="1">
      <alignment vertical="center"/>
      <protection locked="0"/>
    </xf>
    <xf numFmtId="10" fontId="13" fillId="6" borderId="12" xfId="3" applyNumberFormat="1" applyFont="1" applyFill="1" applyBorder="1" applyAlignment="1" applyProtection="1">
      <alignment vertical="center"/>
    </xf>
    <xf numFmtId="14" fontId="13" fillId="0" borderId="18" xfId="4" applyNumberFormat="1" applyFont="1" applyBorder="1" applyAlignment="1" applyProtection="1">
      <alignment horizontal="right" vertical="top"/>
      <protection locked="0"/>
    </xf>
    <xf numFmtId="14" fontId="13" fillId="0" borderId="18" xfId="4" applyNumberFormat="1" applyFont="1" applyBorder="1" applyAlignment="1" applyProtection="1">
      <alignment vertical="center"/>
      <protection locked="0"/>
    </xf>
    <xf numFmtId="0" fontId="13" fillId="0" borderId="18" xfId="4" applyFont="1" applyBorder="1" applyAlignment="1" applyProtection="1">
      <alignment vertical="top"/>
      <protection locked="0"/>
    </xf>
    <xf numFmtId="0" fontId="13" fillId="0" borderId="18" xfId="4" applyFont="1" applyBorder="1" applyAlignment="1" applyProtection="1">
      <alignment vertical="center"/>
      <protection locked="0"/>
    </xf>
    <xf numFmtId="14" fontId="12" fillId="0" borderId="0" xfId="4" applyNumberFormat="1" applyFont="1" applyAlignment="1" applyProtection="1">
      <alignment vertical="top"/>
      <protection locked="0"/>
    </xf>
    <xf numFmtId="14" fontId="12" fillId="0" borderId="0" xfId="4" applyNumberFormat="1" applyFont="1" applyAlignment="1" applyProtection="1">
      <alignment vertical="center"/>
      <protection locked="0"/>
    </xf>
    <xf numFmtId="0" fontId="12" fillId="0" borderId="0" xfId="4" applyFont="1" applyAlignment="1" applyProtection="1">
      <alignment vertical="top"/>
      <protection locked="0"/>
    </xf>
    <xf numFmtId="14" fontId="12" fillId="0" borderId="0" xfId="4" applyNumberFormat="1" applyFont="1" applyProtection="1">
      <protection locked="0"/>
    </xf>
    <xf numFmtId="180" fontId="12" fillId="0" borderId="0" xfId="3" applyNumberFormat="1" applyFont="1" applyFill="1" applyBorder="1" applyAlignment="1" applyProtection="1">
      <alignment vertical="center"/>
      <protection locked="0"/>
    </xf>
    <xf numFmtId="0" fontId="12" fillId="0" borderId="0" xfId="4" applyFont="1" applyProtection="1">
      <protection locked="0"/>
    </xf>
    <xf numFmtId="1" fontId="12" fillId="0" borderId="0" xfId="4" applyNumberFormat="1" applyFont="1" applyAlignment="1" applyProtection="1">
      <alignment vertical="center"/>
      <protection locked="0"/>
    </xf>
    <xf numFmtId="176" fontId="12" fillId="0" borderId="0" xfId="4" applyNumberFormat="1" applyFont="1" applyAlignment="1" applyProtection="1">
      <alignment vertical="center"/>
      <protection locked="0"/>
    </xf>
    <xf numFmtId="0" fontId="10" fillId="0" borderId="0" xfId="4" applyFont="1" applyAlignment="1">
      <alignment vertical="center"/>
    </xf>
    <xf numFmtId="0" fontId="12" fillId="7" borderId="1" xfId="4" applyFont="1" applyFill="1" applyBorder="1" applyAlignment="1">
      <alignment horizontal="left" wrapText="1"/>
    </xf>
    <xf numFmtId="14" fontId="12" fillId="0" borderId="0" xfId="4" applyNumberFormat="1" applyFont="1"/>
    <xf numFmtId="14" fontId="12" fillId="3" borderId="0" xfId="4" applyNumberFormat="1" applyFont="1" applyFill="1" applyAlignment="1">
      <alignment vertical="top"/>
    </xf>
    <xf numFmtId="14" fontId="18" fillId="4" borderId="19" xfId="4" applyNumberFormat="1" applyFont="1" applyFill="1" applyBorder="1" applyAlignment="1">
      <alignment horizontal="center" vertical="center"/>
    </xf>
    <xf numFmtId="14" fontId="12" fillId="0" borderId="0" xfId="4" applyNumberFormat="1" applyFont="1" applyAlignment="1">
      <alignment horizontal="center" vertical="center"/>
    </xf>
    <xf numFmtId="14" fontId="12" fillId="8" borderId="19" xfId="4" applyNumberFormat="1" applyFont="1" applyFill="1" applyBorder="1" applyProtection="1">
      <protection locked="0"/>
    </xf>
    <xf numFmtId="14" fontId="12" fillId="0" borderId="19" xfId="4" applyNumberFormat="1" applyFont="1" applyBorder="1" applyProtection="1">
      <protection locked="0"/>
    </xf>
    <xf numFmtId="0" fontId="19" fillId="0" borderId="0" xfId="4" applyFont="1"/>
    <xf numFmtId="14" fontId="12" fillId="0" borderId="19" xfId="4" applyNumberFormat="1" applyFont="1" applyBorder="1"/>
    <xf numFmtId="0" fontId="22" fillId="0" borderId="0" xfId="4" applyFont="1" applyAlignment="1" applyProtection="1">
      <alignment horizontal="center"/>
      <protection locked="0"/>
    </xf>
    <xf numFmtId="14" fontId="22" fillId="0" borderId="0" xfId="4" applyNumberFormat="1" applyFont="1" applyAlignment="1" applyProtection="1">
      <alignment horizontal="center"/>
      <protection locked="0"/>
    </xf>
    <xf numFmtId="0" fontId="22" fillId="0" borderId="0" xfId="4" applyFont="1" applyProtection="1">
      <protection locked="0"/>
    </xf>
    <xf numFmtId="0" fontId="22" fillId="0" borderId="0" xfId="4" applyFont="1" applyAlignment="1" applyProtection="1">
      <alignment horizontal="right"/>
      <protection locked="0"/>
    </xf>
    <xf numFmtId="0" fontId="22" fillId="0" borderId="0" xfId="4" applyFont="1" applyAlignment="1" applyProtection="1">
      <alignment horizontal="left"/>
      <protection locked="0"/>
    </xf>
    <xf numFmtId="14" fontId="22" fillId="0" borderId="0" xfId="4" applyNumberFormat="1" applyFont="1" applyProtection="1">
      <protection locked="0"/>
    </xf>
    <xf numFmtId="14" fontId="22" fillId="0" borderId="0" xfId="4" applyNumberFormat="1" applyFont="1" applyAlignment="1" applyProtection="1">
      <alignment horizontal="left"/>
      <protection locked="0"/>
    </xf>
    <xf numFmtId="0" fontId="13" fillId="9" borderId="20" xfId="4" applyFont="1" applyFill="1" applyBorder="1" applyAlignment="1">
      <alignment horizontal="left" vertical="top"/>
    </xf>
    <xf numFmtId="0" fontId="13" fillId="0" borderId="0" xfId="4" applyFont="1" applyAlignment="1">
      <alignment horizontal="left" vertical="top"/>
    </xf>
    <xf numFmtId="0" fontId="13" fillId="0" borderId="0" xfId="4" applyFont="1" applyAlignment="1">
      <alignment vertical="top"/>
    </xf>
    <xf numFmtId="0" fontId="13" fillId="0" borderId="0" xfId="4" quotePrefix="1" applyFont="1" applyAlignment="1">
      <alignment horizontal="left" vertical="top"/>
    </xf>
    <xf numFmtId="14" fontId="13" fillId="0" borderId="0" xfId="4" applyNumberFormat="1" applyFont="1" applyAlignment="1">
      <alignment horizontal="left" vertical="top"/>
    </xf>
    <xf numFmtId="0" fontId="13" fillId="0" borderId="20" xfId="4" applyFont="1" applyBorder="1" applyAlignment="1">
      <alignment vertical="top"/>
    </xf>
    <xf numFmtId="0" fontId="13" fillId="0" borderId="20" xfId="4" applyFont="1" applyBorder="1" applyAlignment="1">
      <alignment horizontal="left" vertical="top"/>
    </xf>
    <xf numFmtId="1" fontId="13" fillId="0" borderId="0" xfId="4" applyNumberFormat="1" applyFont="1" applyAlignment="1">
      <alignment horizontal="left" vertical="top"/>
    </xf>
    <xf numFmtId="22" fontId="13" fillId="0" borderId="0" xfId="4" applyNumberFormat="1" applyFont="1" applyAlignment="1">
      <alignment horizontal="left" vertical="top"/>
    </xf>
    <xf numFmtId="14" fontId="13" fillId="0" borderId="0" xfId="4" applyNumberFormat="1" applyFont="1" applyAlignment="1">
      <alignment vertical="top"/>
    </xf>
    <xf numFmtId="0" fontId="21" fillId="0" borderId="0" xfId="0" applyFont="1"/>
    <xf numFmtId="14" fontId="12" fillId="8" borderId="19" xfId="0" applyNumberFormat="1" applyFont="1" applyFill="1" applyBorder="1" applyProtection="1">
      <protection locked="0"/>
    </xf>
    <xf numFmtId="14" fontId="12" fillId="0" borderId="19" xfId="0" applyNumberFormat="1" applyFont="1" applyBorder="1" applyProtection="1">
      <protection locked="0"/>
    </xf>
    <xf numFmtId="0" fontId="8" fillId="4" borderId="1" xfId="4" applyFont="1" applyFill="1" applyBorder="1" applyAlignment="1">
      <alignment horizontal="center" vertical="center"/>
    </xf>
    <xf numFmtId="0" fontId="8" fillId="4" borderId="1" xfId="4" applyFont="1" applyFill="1" applyBorder="1" applyAlignment="1">
      <alignment horizontal="center" vertical="center" wrapText="1"/>
    </xf>
    <xf numFmtId="0" fontId="25" fillId="0" borderId="0" xfId="0" applyFont="1" applyAlignment="1">
      <alignment vertical="top"/>
    </xf>
    <xf numFmtId="0" fontId="25" fillId="0" borderId="0" xfId="0" applyFont="1" applyAlignment="1">
      <alignment vertical="top" wrapText="1"/>
    </xf>
    <xf numFmtId="0" fontId="26" fillId="0" borderId="0" xfId="5" applyFont="1" applyAlignment="1">
      <alignment horizontal="left" vertical="top" wrapText="1"/>
    </xf>
    <xf numFmtId="0" fontId="26" fillId="0" borderId="0" xfId="5" applyFont="1" applyAlignment="1">
      <alignment horizontal="left" vertical="top"/>
    </xf>
    <xf numFmtId="0" fontId="9" fillId="0" borderId="0" xfId="4" applyFont="1" applyAlignment="1">
      <alignment vertical="top"/>
    </xf>
    <xf numFmtId="0" fontId="9" fillId="0" borderId="0" xfId="5" applyFont="1" applyAlignment="1">
      <alignment horizontal="left" vertical="top"/>
    </xf>
    <xf numFmtId="14" fontId="26" fillId="0" borderId="0" xfId="5" applyNumberFormat="1" applyFont="1" applyAlignment="1">
      <alignment horizontal="left" vertical="top" wrapText="1"/>
    </xf>
    <xf numFmtId="0" fontId="21" fillId="0" borderId="0" xfId="5" applyFont="1" applyAlignment="1">
      <alignment horizontal="left" vertical="top" wrapText="1"/>
    </xf>
    <xf numFmtId="0" fontId="12" fillId="0" borderId="0" xfId="4" applyFont="1" applyAlignment="1">
      <alignment vertical="top"/>
    </xf>
    <xf numFmtId="0" fontId="30" fillId="0" borderId="0" xfId="0" applyFont="1" applyAlignment="1">
      <alignment vertical="top"/>
    </xf>
    <xf numFmtId="0" fontId="31" fillId="0" borderId="0" xfId="5" applyFont="1" applyAlignment="1">
      <alignment horizontal="left" vertical="top" wrapText="1"/>
    </xf>
    <xf numFmtId="0" fontId="29" fillId="0" borderId="0" xfId="5" applyFont="1" applyAlignment="1">
      <alignment horizontal="left" vertical="top"/>
    </xf>
    <xf numFmtId="0" fontId="25" fillId="0" borderId="0" xfId="0" applyFont="1" applyAlignment="1">
      <alignment horizontal="center" vertical="top"/>
    </xf>
    <xf numFmtId="0" fontId="26" fillId="0" borderId="0" xfId="0" applyFont="1" applyAlignment="1">
      <alignment vertical="top" wrapText="1"/>
    </xf>
    <xf numFmtId="0" fontId="24" fillId="11" borderId="0" xfId="1" applyFont="1" applyFill="1" applyBorder="1" applyAlignment="1">
      <alignment horizontal="left" vertical="center"/>
    </xf>
    <xf numFmtId="0" fontId="27" fillId="0" borderId="0" xfId="0" applyFont="1" applyAlignment="1">
      <alignment vertical="top" wrapText="1"/>
    </xf>
    <xf numFmtId="0" fontId="32" fillId="0" borderId="0" xfId="0" applyFont="1" applyAlignment="1">
      <alignment vertical="top" wrapText="1"/>
    </xf>
    <xf numFmtId="0" fontId="28" fillId="0" borderId="0" xfId="5" applyFont="1" applyAlignment="1">
      <alignment horizontal="left" vertical="top" wrapText="1"/>
    </xf>
    <xf numFmtId="0" fontId="12" fillId="7" borderId="2" xfId="4" applyFont="1" applyFill="1" applyBorder="1" applyAlignment="1">
      <alignment horizontal="left" wrapText="1"/>
    </xf>
    <xf numFmtId="14" fontId="12" fillId="0" borderId="15" xfId="4" applyNumberFormat="1" applyFont="1" applyBorder="1"/>
    <xf numFmtId="0" fontId="12" fillId="0" borderId="15" xfId="4" applyFont="1" applyBorder="1"/>
    <xf numFmtId="14" fontId="12" fillId="0" borderId="26" xfId="4" applyNumberFormat="1" applyFont="1" applyBorder="1"/>
    <xf numFmtId="0" fontId="12" fillId="0" borderId="26" xfId="4" applyFont="1" applyBorder="1"/>
    <xf numFmtId="0" fontId="12" fillId="7" borderId="3" xfId="4" applyFont="1" applyFill="1" applyBorder="1" applyAlignment="1">
      <alignment horizontal="left" wrapText="1"/>
    </xf>
    <xf numFmtId="0" fontId="12" fillId="0" borderId="0" xfId="4" applyFont="1"/>
    <xf numFmtId="10" fontId="12" fillId="0" borderId="15" xfId="6" applyNumberFormat="1" applyFont="1" applyBorder="1" applyAlignment="1"/>
    <xf numFmtId="10" fontId="12" fillId="0" borderId="26" xfId="6" applyNumberFormat="1" applyFont="1" applyBorder="1" applyAlignment="1"/>
    <xf numFmtId="0" fontId="34" fillId="11" borderId="0" xfId="1" applyFont="1" applyFill="1" applyBorder="1" applyAlignment="1">
      <alignment horizontal="left" vertical="top"/>
    </xf>
    <xf numFmtId="0" fontId="34" fillId="11" borderId="0" xfId="1" applyFont="1" applyFill="1" applyBorder="1" applyAlignment="1">
      <alignment horizontal="left" vertical="center"/>
    </xf>
    <xf numFmtId="0" fontId="35" fillId="11" borderId="0" xfId="1" applyFont="1" applyFill="1" applyBorder="1" applyAlignment="1">
      <alignment horizontal="left" vertical="top"/>
    </xf>
    <xf numFmtId="0" fontId="36" fillId="11" borderId="0" xfId="1" applyFont="1" applyFill="1" applyBorder="1" applyAlignment="1">
      <alignment horizontal="left" vertical="center"/>
    </xf>
    <xf numFmtId="0" fontId="36" fillId="11" borderId="0" xfId="1" applyFont="1" applyFill="1" applyBorder="1" applyAlignment="1">
      <alignment vertical="center"/>
    </xf>
    <xf numFmtId="14" fontId="36" fillId="11" borderId="0" xfId="1" applyNumberFormat="1" applyFont="1" applyFill="1" applyBorder="1" applyAlignment="1">
      <alignment vertical="top"/>
    </xf>
    <xf numFmtId="14" fontId="37" fillId="11" borderId="0" xfId="1" applyNumberFormat="1" applyFont="1" applyFill="1" applyBorder="1" applyAlignment="1">
      <alignment horizontal="left" vertical="top" wrapText="1"/>
    </xf>
    <xf numFmtId="0" fontId="38" fillId="11" borderId="0" xfId="1" applyFont="1" applyFill="1" applyBorder="1" applyAlignment="1">
      <alignment horizontal="center" vertical="top"/>
    </xf>
    <xf numFmtId="0" fontId="34" fillId="11" borderId="0" xfId="1" applyFont="1" applyFill="1" applyBorder="1" applyAlignment="1">
      <alignment horizontal="center" vertical="top"/>
    </xf>
    <xf numFmtId="0" fontId="36" fillId="11" borderId="0" xfId="1" applyNumberFormat="1" applyFont="1" applyFill="1" applyBorder="1" applyAlignment="1">
      <alignment horizontal="center" vertical="top"/>
    </xf>
    <xf numFmtId="14" fontId="36" fillId="11" borderId="0" xfId="1" applyNumberFormat="1" applyFont="1" applyFill="1" applyBorder="1" applyAlignment="1">
      <alignment horizontal="center" vertical="top"/>
    </xf>
    <xf numFmtId="1" fontId="36" fillId="11" borderId="0" xfId="1" applyNumberFormat="1" applyFont="1" applyFill="1" applyBorder="1" applyAlignment="1">
      <alignment horizontal="center" vertical="top"/>
    </xf>
    <xf numFmtId="0" fontId="38" fillId="11" borderId="0" xfId="2" applyFont="1" applyFill="1" applyBorder="1" applyAlignment="1">
      <alignment vertical="top" wrapText="1"/>
    </xf>
    <xf numFmtId="0" fontId="38" fillId="11" borderId="0" xfId="2" applyNumberFormat="1" applyFont="1" applyFill="1" applyBorder="1" applyAlignment="1">
      <alignment vertical="top"/>
    </xf>
    <xf numFmtId="0" fontId="38" fillId="11" borderId="0" xfId="2" applyFont="1" applyFill="1" applyBorder="1" applyAlignment="1">
      <alignment vertical="top"/>
    </xf>
    <xf numFmtId="0" fontId="35" fillId="11" borderId="0" xfId="2" applyFont="1" applyFill="1" applyBorder="1" applyAlignment="1">
      <alignment horizontal="right" vertical="top"/>
    </xf>
    <xf numFmtId="0" fontId="35" fillId="11" borderId="0" xfId="2" applyFont="1" applyFill="1" applyBorder="1" applyAlignment="1">
      <alignment horizontal="right" vertical="center"/>
    </xf>
    <xf numFmtId="0" fontId="39" fillId="11" borderId="0" xfId="1" applyFont="1" applyFill="1" applyBorder="1" applyAlignment="1">
      <alignment horizontal="left" vertical="center"/>
    </xf>
    <xf numFmtId="0" fontId="40" fillId="11" borderId="0" xfId="1" applyFont="1" applyFill="1" applyBorder="1" applyAlignment="1">
      <alignment horizontal="left" vertical="top"/>
    </xf>
    <xf numFmtId="0" fontId="41" fillId="11" borderId="0" xfId="1" applyFont="1" applyFill="1" applyBorder="1" applyAlignment="1">
      <alignment horizontal="left" vertical="top"/>
    </xf>
    <xf numFmtId="0" fontId="42" fillId="11" borderId="0" xfId="2" applyNumberFormat="1" applyFont="1" applyFill="1" applyBorder="1" applyAlignment="1">
      <alignment horizontal="right" vertical="center"/>
    </xf>
    <xf numFmtId="10" fontId="42" fillId="11" borderId="0" xfId="3" applyNumberFormat="1" applyFont="1" applyFill="1" applyBorder="1" applyAlignment="1">
      <alignment horizontal="right" vertical="center"/>
    </xf>
    <xf numFmtId="0" fontId="43" fillId="11" borderId="0" xfId="2" applyNumberFormat="1" applyFont="1" applyFill="1" applyBorder="1" applyAlignment="1">
      <alignment vertical="top"/>
    </xf>
    <xf numFmtId="0" fontId="43" fillId="11" borderId="0" xfId="2" applyNumberFormat="1" applyFont="1" applyFill="1" applyBorder="1" applyAlignment="1">
      <alignment horizontal="right" vertical="top"/>
    </xf>
    <xf numFmtId="0" fontId="45" fillId="0" borderId="0" xfId="1" applyFont="1" applyFill="1" applyBorder="1" applyAlignment="1">
      <alignment horizontal="left" vertical="center"/>
    </xf>
    <xf numFmtId="178" fontId="46" fillId="5" borderId="4" xfId="4" applyNumberFormat="1" applyFont="1" applyFill="1" applyBorder="1" applyAlignment="1">
      <alignment horizontal="left" vertical="center"/>
    </xf>
    <xf numFmtId="178" fontId="46" fillId="5" borderId="5" xfId="4" applyNumberFormat="1" applyFont="1" applyFill="1" applyBorder="1" applyAlignment="1">
      <alignment horizontal="left" vertical="center"/>
    </xf>
    <xf numFmtId="178" fontId="46" fillId="5" borderId="6" xfId="4" applyNumberFormat="1" applyFont="1" applyFill="1" applyBorder="1" applyAlignment="1">
      <alignment horizontal="left" vertical="center"/>
    </xf>
    <xf numFmtId="0" fontId="46" fillId="0" borderId="1" xfId="4" applyFont="1" applyFill="1" applyBorder="1" applyAlignment="1">
      <alignment horizontal="left" vertical="center"/>
    </xf>
    <xf numFmtId="0" fontId="46" fillId="0" borderId="2" xfId="4" applyFont="1" applyFill="1" applyBorder="1" applyAlignment="1">
      <alignment horizontal="left" vertical="center"/>
    </xf>
    <xf numFmtId="0" fontId="45" fillId="0" borderId="2" xfId="4" applyFont="1" applyFill="1" applyBorder="1" applyAlignment="1">
      <alignment horizontal="left" vertical="center"/>
    </xf>
    <xf numFmtId="0" fontId="45" fillId="0" borderId="7" xfId="4" applyFont="1" applyBorder="1" applyAlignment="1" applyProtection="1">
      <alignment vertical="top"/>
      <protection locked="0"/>
    </xf>
    <xf numFmtId="0" fontId="45" fillId="0" borderId="7" xfId="4" quotePrefix="1" applyFont="1" applyBorder="1" applyAlignment="1" applyProtection="1">
      <alignment horizontal="right" vertical="top"/>
      <protection locked="0"/>
    </xf>
    <xf numFmtId="0" fontId="45" fillId="0" borderId="7" xfId="4" applyFont="1" applyBorder="1" applyAlignment="1" applyProtection="1">
      <alignment horizontal="left" vertical="top"/>
      <protection locked="0"/>
    </xf>
    <xf numFmtId="14" fontId="45" fillId="0" borderId="7" xfId="4" applyNumberFormat="1" applyFont="1" applyBorder="1" applyAlignment="1" applyProtection="1">
      <alignment horizontal="center" vertical="top"/>
      <protection locked="0"/>
    </xf>
    <xf numFmtId="176" fontId="45" fillId="0" borderId="7" xfId="4" applyNumberFormat="1" applyFont="1" applyBorder="1" applyAlignment="1" applyProtection="1">
      <alignment horizontal="center" vertical="top"/>
      <protection locked="0"/>
    </xf>
    <xf numFmtId="0" fontId="45" fillId="0" borderId="7" xfId="4" applyFont="1" applyBorder="1" applyAlignment="1" applyProtection="1">
      <alignment horizontal="center" vertical="top"/>
      <protection locked="0"/>
    </xf>
    <xf numFmtId="177" fontId="45" fillId="0" borderId="7" xfId="4" applyNumberFormat="1" applyFont="1" applyBorder="1" applyAlignment="1" applyProtection="1">
      <alignment horizontal="center" vertical="top"/>
      <protection locked="0"/>
    </xf>
    <xf numFmtId="1" fontId="45" fillId="0" borderId="7" xfId="4" applyNumberFormat="1" applyFont="1" applyBorder="1" applyAlignment="1" applyProtection="1">
      <alignment horizontal="center" vertical="top"/>
      <protection locked="0"/>
    </xf>
    <xf numFmtId="179" fontId="45" fillId="0" borderId="7" xfId="4" applyNumberFormat="1" applyFont="1" applyBorder="1" applyAlignment="1" applyProtection="1">
      <alignment horizontal="center" vertical="top"/>
      <protection locked="0"/>
    </xf>
    <xf numFmtId="14" fontId="45" fillId="0" borderId="7" xfId="4" applyNumberFormat="1" applyFont="1" applyBorder="1" applyAlignment="1" applyProtection="1">
      <alignment horizontal="left" vertical="top"/>
      <protection locked="0"/>
    </xf>
    <xf numFmtId="10" fontId="45" fillId="0" borderId="7" xfId="6" applyNumberFormat="1" applyFont="1" applyFill="1" applyBorder="1" applyAlignment="1" applyProtection="1">
      <alignment horizontal="right" vertical="top" wrapText="1"/>
      <protection locked="0"/>
    </xf>
    <xf numFmtId="10" fontId="45" fillId="0" borderId="7" xfId="6" applyNumberFormat="1" applyFont="1" applyFill="1" applyBorder="1" applyAlignment="1" applyProtection="1">
      <alignment horizontal="right" vertical="top"/>
      <protection locked="0"/>
    </xf>
    <xf numFmtId="0" fontId="45" fillId="0" borderId="21" xfId="4" applyFont="1" applyFill="1" applyBorder="1" applyAlignment="1" applyProtection="1">
      <alignment horizontal="left" vertical="center"/>
      <protection locked="0"/>
    </xf>
    <xf numFmtId="0" fontId="45" fillId="0" borderId="8" xfId="4" applyFont="1" applyFill="1" applyBorder="1" applyAlignment="1" applyProtection="1">
      <alignment horizontal="left" vertical="center"/>
      <protection locked="0"/>
    </xf>
    <xf numFmtId="0" fontId="45" fillId="0" borderId="9" xfId="4" applyFont="1" applyFill="1" applyBorder="1" applyAlignment="1" applyProtection="1">
      <alignment horizontal="left" vertical="center"/>
      <protection locked="0"/>
    </xf>
    <xf numFmtId="0" fontId="45" fillId="0" borderId="25" xfId="4" applyFont="1" applyBorder="1" applyAlignment="1" applyProtection="1">
      <alignment vertical="top"/>
      <protection locked="0"/>
    </xf>
    <xf numFmtId="0" fontId="45" fillId="0" borderId="25" xfId="4" quotePrefix="1" applyFont="1" applyBorder="1" applyAlignment="1" applyProtection="1">
      <alignment horizontal="right" vertical="top"/>
      <protection locked="0"/>
    </xf>
    <xf numFmtId="0" fontId="45" fillId="0" borderId="25" xfId="4" applyFont="1" applyBorder="1" applyAlignment="1" applyProtection="1">
      <alignment horizontal="left" vertical="top"/>
      <protection locked="0"/>
    </xf>
    <xf numFmtId="14" fontId="45" fillId="0" borderId="25" xfId="4" applyNumberFormat="1" applyFont="1" applyBorder="1" applyAlignment="1" applyProtection="1">
      <alignment horizontal="center" vertical="top"/>
      <protection locked="0"/>
    </xf>
    <xf numFmtId="176" fontId="45" fillId="0" borderId="25" xfId="4" applyNumberFormat="1" applyFont="1" applyBorder="1" applyAlignment="1" applyProtection="1">
      <alignment horizontal="center" vertical="top"/>
      <protection locked="0"/>
    </xf>
    <xf numFmtId="0" fontId="45" fillId="0" borderId="25" xfId="4" applyFont="1" applyBorder="1" applyAlignment="1" applyProtection="1">
      <alignment horizontal="center" vertical="top"/>
      <protection locked="0"/>
    </xf>
    <xf numFmtId="177" fontId="45" fillId="0" borderId="25" xfId="4" applyNumberFormat="1" applyFont="1" applyBorder="1" applyAlignment="1" applyProtection="1">
      <alignment horizontal="center" vertical="top"/>
      <protection locked="0"/>
    </xf>
    <xf numFmtId="1" fontId="45" fillId="0" borderId="25" xfId="4" applyNumberFormat="1" applyFont="1" applyBorder="1" applyAlignment="1" applyProtection="1">
      <alignment horizontal="center" vertical="top"/>
      <protection locked="0"/>
    </xf>
    <xf numFmtId="179" fontId="45" fillId="0" borderId="25" xfId="4" applyNumberFormat="1" applyFont="1" applyBorder="1" applyAlignment="1" applyProtection="1">
      <alignment horizontal="center" vertical="top"/>
      <protection locked="0"/>
    </xf>
    <xf numFmtId="14" fontId="45" fillId="0" borderId="25" xfId="4" applyNumberFormat="1" applyFont="1" applyBorder="1" applyAlignment="1" applyProtection="1">
      <alignment horizontal="left" vertical="top"/>
      <protection locked="0"/>
    </xf>
    <xf numFmtId="10" fontId="45" fillId="0" borderId="25" xfId="6" applyNumberFormat="1" applyFont="1" applyFill="1" applyBorder="1" applyAlignment="1" applyProtection="1">
      <alignment horizontal="right" vertical="top" wrapText="1"/>
      <protection locked="0"/>
    </xf>
    <xf numFmtId="10" fontId="45" fillId="0" borderId="25" xfId="6" applyNumberFormat="1" applyFont="1" applyFill="1" applyBorder="1" applyAlignment="1" applyProtection="1">
      <alignment horizontal="right" vertical="top"/>
      <protection locked="0"/>
    </xf>
    <xf numFmtId="0" fontId="45" fillId="0" borderId="23" xfId="4" applyFont="1" applyFill="1" applyBorder="1" applyAlignment="1" applyProtection="1">
      <alignment horizontal="left" vertical="center"/>
      <protection locked="0"/>
    </xf>
    <xf numFmtId="0" fontId="45" fillId="0" borderId="7" xfId="4" applyFont="1" applyBorder="1" applyAlignment="1" applyProtection="1">
      <alignment horizontal="right" vertical="top"/>
      <protection locked="0"/>
    </xf>
    <xf numFmtId="0" fontId="45" fillId="0" borderId="22" xfId="4" applyFont="1" applyBorder="1" applyAlignment="1" applyProtection="1">
      <alignment vertical="top"/>
      <protection locked="0"/>
    </xf>
    <xf numFmtId="0" fontId="45" fillId="0" borderId="22" xfId="4" applyFont="1" applyBorder="1" applyAlignment="1" applyProtection="1">
      <alignment horizontal="right" vertical="top"/>
      <protection locked="0"/>
    </xf>
    <xf numFmtId="0" fontId="45" fillId="0" borderId="22" xfId="4" applyFont="1" applyBorder="1" applyAlignment="1" applyProtection="1">
      <alignment horizontal="left" vertical="top"/>
      <protection locked="0"/>
    </xf>
    <xf numFmtId="14" fontId="45" fillId="0" borderId="22" xfId="4" applyNumberFormat="1" applyFont="1" applyBorder="1" applyAlignment="1" applyProtection="1">
      <alignment horizontal="center" vertical="top"/>
      <protection locked="0"/>
    </xf>
    <xf numFmtId="176" fontId="45" fillId="0" borderId="22" xfId="4" applyNumberFormat="1" applyFont="1" applyBorder="1" applyAlignment="1" applyProtection="1">
      <alignment horizontal="center" vertical="top"/>
      <protection locked="0"/>
    </xf>
    <xf numFmtId="0" fontId="45" fillId="0" borderId="22" xfId="4" applyFont="1" applyBorder="1" applyAlignment="1" applyProtection="1">
      <alignment horizontal="center" vertical="top"/>
      <protection locked="0"/>
    </xf>
    <xf numFmtId="177" fontId="45" fillId="0" borderId="22" xfId="4" applyNumberFormat="1" applyFont="1" applyBorder="1" applyAlignment="1" applyProtection="1">
      <alignment horizontal="center" vertical="top"/>
      <protection locked="0"/>
    </xf>
    <xf numFmtId="1" fontId="45" fillId="0" borderId="22" xfId="4" applyNumberFormat="1" applyFont="1" applyBorder="1" applyAlignment="1" applyProtection="1">
      <alignment horizontal="center" vertical="top"/>
      <protection locked="0"/>
    </xf>
    <xf numFmtId="179" fontId="45" fillId="0" borderId="22" xfId="4" applyNumberFormat="1" applyFont="1" applyBorder="1" applyAlignment="1" applyProtection="1">
      <alignment horizontal="center" vertical="top"/>
      <protection locked="0"/>
    </xf>
    <xf numFmtId="14" fontId="45" fillId="0" borderId="22" xfId="4" applyNumberFormat="1" applyFont="1" applyBorder="1" applyAlignment="1" applyProtection="1">
      <alignment horizontal="left" vertical="top"/>
      <protection locked="0"/>
    </xf>
    <xf numFmtId="10" fontId="45" fillId="0" borderId="22" xfId="3" applyNumberFormat="1" applyFont="1" applyFill="1" applyBorder="1" applyAlignment="1" applyProtection="1">
      <alignment horizontal="right" vertical="top" wrapText="1"/>
      <protection locked="0"/>
    </xf>
    <xf numFmtId="10" fontId="45" fillId="0" borderId="22" xfId="3" applyNumberFormat="1" applyFont="1" applyFill="1" applyBorder="1" applyAlignment="1" applyProtection="1">
      <alignment horizontal="right" vertical="top"/>
      <protection locked="0"/>
    </xf>
    <xf numFmtId="0" fontId="45" fillId="0" borderId="10" xfId="4" applyFont="1" applyBorder="1" applyAlignment="1" applyProtection="1">
      <alignment vertical="top"/>
      <protection locked="0"/>
    </xf>
    <xf numFmtId="0" fontId="45" fillId="0" borderId="10" xfId="4" applyFont="1" applyBorder="1" applyAlignment="1" applyProtection="1">
      <alignment horizontal="right" vertical="top"/>
      <protection locked="0"/>
    </xf>
    <xf numFmtId="0" fontId="45" fillId="0" borderId="10" xfId="4" applyFont="1" applyBorder="1" applyAlignment="1" applyProtection="1">
      <alignment horizontal="left" vertical="top"/>
      <protection locked="0"/>
    </xf>
    <xf numFmtId="14" fontId="45" fillId="0" borderId="10" xfId="4" applyNumberFormat="1" applyFont="1" applyBorder="1" applyAlignment="1" applyProtection="1">
      <alignment horizontal="center" vertical="top"/>
      <protection locked="0"/>
    </xf>
    <xf numFmtId="176" fontId="45" fillId="0" borderId="10" xfId="4" applyNumberFormat="1" applyFont="1" applyBorder="1" applyAlignment="1" applyProtection="1">
      <alignment horizontal="center" vertical="top"/>
      <protection locked="0"/>
    </xf>
    <xf numFmtId="0" fontId="45" fillId="0" borderId="10" xfId="4" applyFont="1" applyBorder="1" applyAlignment="1" applyProtection="1">
      <alignment horizontal="center" vertical="top"/>
      <protection locked="0"/>
    </xf>
    <xf numFmtId="177" fontId="45" fillId="0" borderId="10" xfId="4" applyNumberFormat="1" applyFont="1" applyBorder="1" applyAlignment="1" applyProtection="1">
      <alignment horizontal="center" vertical="top"/>
      <protection locked="0"/>
    </xf>
    <xf numFmtId="1" fontId="45" fillId="0" borderId="10" xfId="4" applyNumberFormat="1" applyFont="1" applyBorder="1" applyAlignment="1" applyProtection="1">
      <alignment horizontal="center" vertical="top"/>
      <protection locked="0"/>
    </xf>
    <xf numFmtId="179" fontId="45" fillId="0" borderId="10" xfId="4" applyNumberFormat="1" applyFont="1" applyBorder="1" applyAlignment="1" applyProtection="1">
      <alignment horizontal="center" vertical="top"/>
      <protection locked="0"/>
    </xf>
    <xf numFmtId="14" fontId="45" fillId="0" borderId="10" xfId="4" applyNumberFormat="1" applyFont="1" applyBorder="1" applyAlignment="1" applyProtection="1">
      <alignment horizontal="left" vertical="top"/>
      <protection locked="0"/>
    </xf>
    <xf numFmtId="10" fontId="45" fillId="0" borderId="10" xfId="3" applyNumberFormat="1" applyFont="1" applyFill="1" applyBorder="1" applyAlignment="1" applyProtection="1">
      <alignment horizontal="right" vertical="top" wrapText="1"/>
      <protection locked="0"/>
    </xf>
    <xf numFmtId="10" fontId="45" fillId="0" borderId="10" xfId="3" applyNumberFormat="1" applyFont="1" applyFill="1" applyBorder="1" applyAlignment="1" applyProtection="1">
      <alignment horizontal="right" vertical="top"/>
      <protection locked="0"/>
    </xf>
    <xf numFmtId="178" fontId="44" fillId="5" borderId="4" xfId="1" applyNumberFormat="1" applyFont="1" applyFill="1" applyBorder="1" applyAlignment="1">
      <alignment horizontal="left" vertical="center"/>
    </xf>
    <xf numFmtId="178" fontId="44" fillId="5" borderId="5" xfId="1" applyNumberFormat="1" applyFont="1" applyFill="1" applyBorder="1" applyAlignment="1">
      <alignment horizontal="left" vertical="center"/>
    </xf>
    <xf numFmtId="0" fontId="4" fillId="11" borderId="0" xfId="2" applyFont="1" applyFill="1" applyBorder="1" applyAlignment="1">
      <alignment horizontal="left" vertical="center"/>
    </xf>
    <xf numFmtId="178" fontId="44" fillId="5" borderId="6" xfId="1" applyNumberFormat="1" applyFont="1" applyFill="1" applyBorder="1" applyAlignment="1">
      <alignment horizontal="left" vertical="center"/>
    </xf>
    <xf numFmtId="0" fontId="44" fillId="10" borderId="1" xfId="4" applyFont="1" applyFill="1" applyBorder="1" applyAlignment="1">
      <alignment horizontal="center" vertical="center" wrapText="1"/>
    </xf>
    <xf numFmtId="0" fontId="44" fillId="10" borderId="0" xfId="4" applyFont="1" applyFill="1" applyAlignment="1">
      <alignment horizontal="center" vertical="center" wrapText="1"/>
    </xf>
    <xf numFmtId="0" fontId="44" fillId="10" borderId="2" xfId="4" applyFont="1" applyFill="1" applyBorder="1" applyAlignment="1">
      <alignment horizontal="center" vertical="center"/>
    </xf>
    <xf numFmtId="0" fontId="44" fillId="10" borderId="24" xfId="4" applyFont="1" applyFill="1" applyBorder="1" applyAlignment="1">
      <alignment horizontal="center" vertical="center"/>
    </xf>
    <xf numFmtId="0" fontId="44" fillId="10" borderId="2" xfId="4" applyFont="1" applyFill="1" applyBorder="1" applyAlignment="1">
      <alignment horizontal="center" vertical="center" wrapText="1"/>
    </xf>
    <xf numFmtId="0" fontId="44" fillId="5" borderId="2" xfId="4" applyFont="1" applyFill="1" applyBorder="1" applyAlignment="1">
      <alignment horizontal="center" vertical="center"/>
    </xf>
    <xf numFmtId="0" fontId="44" fillId="10" borderId="3" xfId="4" applyFont="1" applyFill="1" applyBorder="1" applyAlignment="1">
      <alignment horizontal="center" vertical="center"/>
    </xf>
    <xf numFmtId="0" fontId="44" fillId="10" borderId="0" xfId="4" applyFont="1" applyFill="1" applyAlignment="1">
      <alignment horizontal="center" vertical="center"/>
    </xf>
    <xf numFmtId="0" fontId="44" fillId="10" borderId="1" xfId="4" applyFont="1" applyFill="1" applyBorder="1" applyAlignment="1">
      <alignment horizontal="center" vertical="center"/>
    </xf>
    <xf numFmtId="14" fontId="42" fillId="11" borderId="0" xfId="3" applyNumberFormat="1" applyFont="1" applyFill="1" applyBorder="1" applyAlignment="1">
      <alignment horizontal="center" vertical="center" wrapText="1"/>
    </xf>
    <xf numFmtId="14" fontId="44" fillId="10" borderId="2" xfId="4" applyNumberFormat="1" applyFont="1" applyFill="1" applyBorder="1" applyAlignment="1">
      <alignment horizontal="center" vertical="center"/>
    </xf>
    <xf numFmtId="176" fontId="44" fillId="5" borderId="2" xfId="4" applyNumberFormat="1" applyFont="1" applyFill="1" applyBorder="1" applyAlignment="1">
      <alignment horizontal="center" vertical="center" wrapText="1"/>
    </xf>
    <xf numFmtId="10" fontId="44" fillId="10" borderId="3" xfId="3" applyNumberFormat="1" applyFont="1" applyFill="1" applyBorder="1" applyAlignment="1" applyProtection="1">
      <alignment horizontal="center" vertical="center" wrapText="1"/>
    </xf>
    <xf numFmtId="14" fontId="44" fillId="10" borderId="2" xfId="4" applyNumberFormat="1" applyFont="1" applyFill="1" applyBorder="1" applyAlignment="1">
      <alignment horizontal="center" vertical="center" wrapText="1"/>
    </xf>
    <xf numFmtId="177" fontId="44" fillId="5" borderId="2" xfId="4" applyNumberFormat="1" applyFont="1" applyFill="1" applyBorder="1" applyAlignment="1">
      <alignment horizontal="center" vertical="center" wrapText="1"/>
    </xf>
    <xf numFmtId="1" fontId="44" fillId="5" borderId="2" xfId="4" applyNumberFormat="1" applyFont="1" applyFill="1" applyBorder="1" applyAlignment="1">
      <alignment horizontal="center" vertical="center" wrapText="1"/>
    </xf>
    <xf numFmtId="176" fontId="44" fillId="10" borderId="2" xfId="4" applyNumberFormat="1" applyFont="1" applyFill="1" applyBorder="1" applyAlignment="1">
      <alignment horizontal="center" vertical="center"/>
    </xf>
    <xf numFmtId="10" fontId="44" fillId="5" borderId="2" xfId="3" applyNumberFormat="1" applyFont="1" applyFill="1" applyBorder="1" applyAlignment="1" applyProtection="1">
      <alignment horizontal="center" vertical="center" wrapText="1"/>
    </xf>
    <xf numFmtId="0" fontId="13" fillId="0" borderId="0" xfId="4" applyFont="1" applyAlignment="1" applyProtection="1">
      <alignment horizontal="left" vertical="center" wrapText="1"/>
      <protection locked="0"/>
    </xf>
    <xf numFmtId="0" fontId="13" fillId="0" borderId="0" xfId="4" applyFont="1" applyAlignment="1" applyProtection="1">
      <alignment horizontal="left" vertical="center"/>
      <protection locked="0"/>
    </xf>
    <xf numFmtId="0" fontId="10" fillId="0" borderId="0" xfId="1" applyFont="1" applyFill="1" applyBorder="1" applyAlignment="1">
      <alignment horizontal="left" vertical="center"/>
    </xf>
    <xf numFmtId="0" fontId="7" fillId="0" borderId="0" xfId="1" applyFont="1" applyFill="1" applyBorder="1" applyAlignment="1">
      <alignment horizontal="left" vertical="center"/>
    </xf>
    <xf numFmtId="14" fontId="14" fillId="3" borderId="0" xfId="4" applyNumberFormat="1" applyFont="1" applyFill="1" applyAlignment="1">
      <alignment horizontal="right" vertical="center"/>
    </xf>
    <xf numFmtId="14" fontId="12" fillId="3" borderId="0" xfId="4" applyNumberFormat="1" applyFont="1" applyFill="1" applyAlignment="1">
      <alignment horizontal="left" vertical="top" wrapText="1"/>
    </xf>
    <xf numFmtId="14" fontId="17" fillId="8" borderId="19" xfId="4" applyNumberFormat="1" applyFont="1" applyFill="1" applyBorder="1" applyAlignment="1" applyProtection="1">
      <alignment horizontal="center" vertical="center"/>
      <protection locked="0"/>
    </xf>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3">
    <dxf>
      <fill>
        <patternFill>
          <bgColor rgb="FFFFC000"/>
        </patternFill>
      </fill>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AnalysisReport!$C$7:$C$28</c:f>
              <c:numCache>
                <c:formatCode>m/d/yyyy</c:formatCode>
                <c:ptCount val="22"/>
                <c:pt idx="0">
                  <c:v>43379</c:v>
                </c:pt>
                <c:pt idx="1">
                  <c:v>43386</c:v>
                </c:pt>
                <c:pt idx="2">
                  <c:v>43393</c:v>
                </c:pt>
                <c:pt idx="3">
                  <c:v>43400</c:v>
                </c:pt>
                <c:pt idx="4">
                  <c:v>43407</c:v>
                </c:pt>
                <c:pt idx="5">
                  <c:v>43414</c:v>
                </c:pt>
                <c:pt idx="6">
                  <c:v>43421</c:v>
                </c:pt>
                <c:pt idx="7">
                  <c:v>43428</c:v>
                </c:pt>
                <c:pt idx="8">
                  <c:v>43435</c:v>
                </c:pt>
                <c:pt idx="9">
                  <c:v>43442</c:v>
                </c:pt>
                <c:pt idx="10">
                  <c:v>43449</c:v>
                </c:pt>
                <c:pt idx="11">
                  <c:v>43456</c:v>
                </c:pt>
                <c:pt idx="12">
                  <c:v>43463</c:v>
                </c:pt>
                <c:pt idx="13">
                  <c:v>43470</c:v>
                </c:pt>
                <c:pt idx="14">
                  <c:v>43477</c:v>
                </c:pt>
                <c:pt idx="15">
                  <c:v>43484</c:v>
                </c:pt>
                <c:pt idx="16">
                  <c:v>43491</c:v>
                </c:pt>
                <c:pt idx="17">
                  <c:v>43498</c:v>
                </c:pt>
                <c:pt idx="18">
                  <c:v>43505</c:v>
                </c:pt>
                <c:pt idx="19">
                  <c:v>43512</c:v>
                </c:pt>
                <c:pt idx="20">
                  <c:v>43519</c:v>
                </c:pt>
                <c:pt idx="21">
                  <c:v>43526</c:v>
                </c:pt>
              </c:numCache>
            </c:numRef>
          </c:cat>
          <c:val>
            <c:numRef>
              <c:f>AnalysisReport!$F$7:$F$28</c:f>
              <c:numCache>
                <c:formatCode>0.00%</c:formatCode>
                <c:ptCount val="22"/>
                <c:pt idx="0">
                  <c:v>3.8022813688212928E-3</c:v>
                </c:pt>
                <c:pt idx="1">
                  <c:v>4.1825095057034217E-2</c:v>
                </c:pt>
                <c:pt idx="2">
                  <c:v>9.8859315589353611E-2</c:v>
                </c:pt>
                <c:pt idx="3">
                  <c:v>0.13688212927756654</c:v>
                </c:pt>
                <c:pt idx="4">
                  <c:v>0.17110266159695817</c:v>
                </c:pt>
                <c:pt idx="5">
                  <c:v>0.21673003802281368</c:v>
                </c:pt>
                <c:pt idx="6">
                  <c:v>0.26996197718631176</c:v>
                </c:pt>
                <c:pt idx="7">
                  <c:v>0.29657794676806082</c:v>
                </c:pt>
                <c:pt idx="8">
                  <c:v>0.3269961977186312</c:v>
                </c:pt>
                <c:pt idx="9">
                  <c:v>0.39543726235741444</c:v>
                </c:pt>
                <c:pt idx="10">
                  <c:v>0.46387832699619774</c:v>
                </c:pt>
                <c:pt idx="11">
                  <c:v>0.52851711026615966</c:v>
                </c:pt>
                <c:pt idx="12">
                  <c:v>0.57414448669201523</c:v>
                </c:pt>
                <c:pt idx="13">
                  <c:v>0.62737642585551334</c:v>
                </c:pt>
                <c:pt idx="14">
                  <c:v>0.70722433460076051</c:v>
                </c:pt>
                <c:pt idx="15">
                  <c:v>0.80228136882129275</c:v>
                </c:pt>
                <c:pt idx="16">
                  <c:v>0.89733840304182511</c:v>
                </c:pt>
                <c:pt idx="17">
                  <c:v>0.92775665399239549</c:v>
                </c:pt>
                <c:pt idx="18">
                  <c:v>0.95057034220532322</c:v>
                </c:pt>
                <c:pt idx="19">
                  <c:v>0.96577946768060841</c:v>
                </c:pt>
                <c:pt idx="20">
                  <c:v>0.98479087452471481</c:v>
                </c:pt>
                <c:pt idx="21">
                  <c:v>1</c:v>
                </c:pt>
              </c:numCache>
            </c:numRef>
          </c:val>
          <c:smooth val="0"/>
          <c:extLst xmlns:c16r2="http://schemas.microsoft.com/office/drawing/2015/06/chart">
            <c:ext xmlns:c16="http://schemas.microsoft.com/office/drawing/2014/chart" uri="{C3380CC4-5D6E-409C-BE32-E72D297353CC}">
              <c16:uniqueId val="{00000000-4499-43A6-8B9B-4D5526D8D846}"/>
            </c:ext>
          </c:extLst>
        </c:ser>
        <c:dLbls>
          <c:showLegendKey val="0"/>
          <c:showVal val="0"/>
          <c:showCatName val="0"/>
          <c:showSerName val="0"/>
          <c:showPercent val="0"/>
          <c:showBubbleSize val="0"/>
        </c:dLbls>
        <c:marker val="1"/>
        <c:smooth val="0"/>
        <c:axId val="573448736"/>
        <c:axId val="573450912"/>
      </c:lineChart>
      <c:dateAx>
        <c:axId val="573448736"/>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573450912"/>
        <c:crosses val="autoZero"/>
        <c:auto val="1"/>
        <c:lblOffset val="100"/>
        <c:baseTimeUnit val="days"/>
      </c:dateAx>
      <c:valAx>
        <c:axId val="573450912"/>
        <c:scaling>
          <c:orientation val="minMax"/>
        </c:scaling>
        <c:delete val="0"/>
        <c:axPos val="l"/>
        <c:majorGridlines/>
        <c:numFmt formatCode="0.00%" sourceLinked="1"/>
        <c:majorTickMark val="out"/>
        <c:minorTickMark val="none"/>
        <c:tickLblPos val="nextTo"/>
        <c:crossAx val="57344873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30</xdr:col>
      <xdr:colOff>20410</xdr:colOff>
      <xdr:row>3</xdr:row>
      <xdr:rowOff>55880</xdr:rowOff>
    </xdr:from>
    <xdr:to>
      <xdr:col>30</xdr:col>
      <xdr:colOff>20410</xdr:colOff>
      <xdr:row>23</xdr:row>
      <xdr:rowOff>0</xdr:rowOff>
    </xdr:to>
    <xdr:cxnSp macro="">
      <xdr:nvCxnSpPr>
        <xdr:cNvPr id="22780" name="직선 화살표 연결선 22779">
          <a:extLst>
            <a:ext uri="{FF2B5EF4-FFF2-40B4-BE49-F238E27FC236}">
              <a16:creationId xmlns:a16="http://schemas.microsoft.com/office/drawing/2014/main" xmlns="" id="{76C2719C-42AB-5831-3475-3543E0A6EE0F}"/>
            </a:ext>
          </a:extLst>
        </xdr:cNvPr>
        <xdr:cNvCxnSpPr/>
      </xdr:nvCxnSpPr>
      <xdr:spPr>
        <a:xfrm>
          <a:off x="9069160" y="741680"/>
          <a:ext cx="0" cy="2896870"/>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122465</xdr:colOff>
      <xdr:row>22</xdr:row>
      <xdr:rowOff>19050</xdr:rowOff>
    </xdr:from>
    <xdr:to>
      <xdr:col>36</xdr:col>
      <xdr:colOff>0</xdr:colOff>
      <xdr:row>22</xdr:row>
      <xdr:rowOff>133350</xdr:rowOff>
    </xdr:to>
    <xdr:sp macro="" textlink="">
      <xdr:nvSpPr>
        <xdr:cNvPr id="22781" name="직사각형 22780">
          <a:extLst>
            <a:ext uri="{FF2B5EF4-FFF2-40B4-BE49-F238E27FC236}">
              <a16:creationId xmlns:a16="http://schemas.microsoft.com/office/drawing/2014/main" xmlns="" id="{5A30E797-27DD-97D6-4E8F-4095145C390E}"/>
            </a:ext>
          </a:extLst>
        </xdr:cNvPr>
        <xdr:cNvSpPr/>
      </xdr:nvSpPr>
      <xdr:spPr>
        <a:xfrm>
          <a:off x="9885590" y="35052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122465</xdr:colOff>
      <xdr:row>22</xdr:row>
      <xdr:rowOff>76200</xdr:rowOff>
    </xdr:from>
    <xdr:to>
      <xdr:col>35</xdr:col>
      <xdr:colOff>122465</xdr:colOff>
      <xdr:row>22</xdr:row>
      <xdr:rowOff>76200</xdr:rowOff>
    </xdr:to>
    <xdr:cxnSp macro="">
      <xdr:nvCxnSpPr>
        <xdr:cNvPr id="22782" name="직선 화살표 연결선 22781">
          <a:extLst>
            <a:ext uri="{FF2B5EF4-FFF2-40B4-BE49-F238E27FC236}">
              <a16:creationId xmlns:a16="http://schemas.microsoft.com/office/drawing/2014/main" xmlns="" id="{C0FC6DE0-EC01-8ADC-6832-8D579DA83F21}"/>
            </a:ext>
          </a:extLst>
        </xdr:cNvPr>
        <xdr:cNvCxnSpPr/>
      </xdr:nvCxnSpPr>
      <xdr:spPr>
        <a:xfrm>
          <a:off x="9885590" y="3562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122465</xdr:colOff>
      <xdr:row>21</xdr:row>
      <xdr:rowOff>19050</xdr:rowOff>
    </xdr:from>
    <xdr:to>
      <xdr:col>36</xdr:col>
      <xdr:colOff>0</xdr:colOff>
      <xdr:row>21</xdr:row>
      <xdr:rowOff>133350</xdr:rowOff>
    </xdr:to>
    <xdr:sp macro="" textlink="">
      <xdr:nvSpPr>
        <xdr:cNvPr id="22783" name="직사각형 22782">
          <a:extLst>
            <a:ext uri="{FF2B5EF4-FFF2-40B4-BE49-F238E27FC236}">
              <a16:creationId xmlns:a16="http://schemas.microsoft.com/office/drawing/2014/main" xmlns="" id="{6B4854D2-6A67-A8DA-16A1-A03C8B4C46C1}"/>
            </a:ext>
          </a:extLst>
        </xdr:cNvPr>
        <xdr:cNvSpPr/>
      </xdr:nvSpPr>
      <xdr:spPr>
        <a:xfrm>
          <a:off x="9885590" y="3352800"/>
          <a:ext cx="2041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122465</xdr:colOff>
      <xdr:row>21</xdr:row>
      <xdr:rowOff>76200</xdr:rowOff>
    </xdr:from>
    <xdr:to>
      <xdr:col>35</xdr:col>
      <xdr:colOff>122465</xdr:colOff>
      <xdr:row>21</xdr:row>
      <xdr:rowOff>76200</xdr:rowOff>
    </xdr:to>
    <xdr:cxnSp macro="">
      <xdr:nvCxnSpPr>
        <xdr:cNvPr id="22784" name="직선 화살표 연결선 22783">
          <a:extLst>
            <a:ext uri="{FF2B5EF4-FFF2-40B4-BE49-F238E27FC236}">
              <a16:creationId xmlns:a16="http://schemas.microsoft.com/office/drawing/2014/main" xmlns="" id="{515CCBBE-68FB-3FBD-84FB-B2F3AB8DE4AC}"/>
            </a:ext>
          </a:extLst>
        </xdr:cNvPr>
        <xdr:cNvCxnSpPr/>
      </xdr:nvCxnSpPr>
      <xdr:spPr>
        <a:xfrm>
          <a:off x="9885590" y="3409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122465</xdr:colOff>
      <xdr:row>19</xdr:row>
      <xdr:rowOff>19050</xdr:rowOff>
    </xdr:from>
    <xdr:to>
      <xdr:col>35</xdr:col>
      <xdr:colOff>122465</xdr:colOff>
      <xdr:row>19</xdr:row>
      <xdr:rowOff>133350</xdr:rowOff>
    </xdr:to>
    <xdr:sp macro="" textlink="">
      <xdr:nvSpPr>
        <xdr:cNvPr id="22785" name="직사각형 22784">
          <a:extLst>
            <a:ext uri="{FF2B5EF4-FFF2-40B4-BE49-F238E27FC236}">
              <a16:creationId xmlns:a16="http://schemas.microsoft.com/office/drawing/2014/main" xmlns="" id="{6C7D1986-463E-E267-1719-EE3DFBEA6093}"/>
            </a:ext>
          </a:extLst>
        </xdr:cNvPr>
        <xdr:cNvSpPr/>
      </xdr:nvSpPr>
      <xdr:spPr>
        <a:xfrm>
          <a:off x="9742715" y="3048000"/>
          <a:ext cx="14287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122465</xdr:colOff>
      <xdr:row>19</xdr:row>
      <xdr:rowOff>76200</xdr:rowOff>
    </xdr:from>
    <xdr:to>
      <xdr:col>34</xdr:col>
      <xdr:colOff>122465</xdr:colOff>
      <xdr:row>19</xdr:row>
      <xdr:rowOff>76200</xdr:rowOff>
    </xdr:to>
    <xdr:cxnSp macro="">
      <xdr:nvCxnSpPr>
        <xdr:cNvPr id="22786" name="직선 화살표 연결선 22785">
          <a:extLst>
            <a:ext uri="{FF2B5EF4-FFF2-40B4-BE49-F238E27FC236}">
              <a16:creationId xmlns:a16="http://schemas.microsoft.com/office/drawing/2014/main" xmlns="" id="{86F33441-FEFD-26FB-D937-288D2A8E2E45}"/>
            </a:ext>
          </a:extLst>
        </xdr:cNvPr>
        <xdr:cNvCxnSpPr/>
      </xdr:nvCxnSpPr>
      <xdr:spPr>
        <a:xfrm>
          <a:off x="9742715" y="3105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122465</xdr:colOff>
      <xdr:row>18</xdr:row>
      <xdr:rowOff>19050</xdr:rowOff>
    </xdr:from>
    <xdr:to>
      <xdr:col>35</xdr:col>
      <xdr:colOff>122465</xdr:colOff>
      <xdr:row>18</xdr:row>
      <xdr:rowOff>133350</xdr:rowOff>
    </xdr:to>
    <xdr:sp macro="" textlink="">
      <xdr:nvSpPr>
        <xdr:cNvPr id="22787" name="직사각형 22786">
          <a:extLst>
            <a:ext uri="{FF2B5EF4-FFF2-40B4-BE49-F238E27FC236}">
              <a16:creationId xmlns:a16="http://schemas.microsoft.com/office/drawing/2014/main" xmlns="" id="{12A32A1C-684A-C03B-5390-1B1170ECA116}"/>
            </a:ext>
          </a:extLst>
        </xdr:cNvPr>
        <xdr:cNvSpPr/>
      </xdr:nvSpPr>
      <xdr:spPr>
        <a:xfrm>
          <a:off x="9742715" y="2895600"/>
          <a:ext cx="14287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122465</xdr:colOff>
      <xdr:row>18</xdr:row>
      <xdr:rowOff>76200</xdr:rowOff>
    </xdr:from>
    <xdr:to>
      <xdr:col>34</xdr:col>
      <xdr:colOff>122465</xdr:colOff>
      <xdr:row>18</xdr:row>
      <xdr:rowOff>76200</xdr:rowOff>
    </xdr:to>
    <xdr:cxnSp macro="">
      <xdr:nvCxnSpPr>
        <xdr:cNvPr id="22788" name="직선 화살표 연결선 22787">
          <a:extLst>
            <a:ext uri="{FF2B5EF4-FFF2-40B4-BE49-F238E27FC236}">
              <a16:creationId xmlns:a16="http://schemas.microsoft.com/office/drawing/2014/main" xmlns="" id="{C61E6081-1C0E-2C66-3E51-3A91F2685778}"/>
            </a:ext>
          </a:extLst>
        </xdr:cNvPr>
        <xdr:cNvCxnSpPr/>
      </xdr:nvCxnSpPr>
      <xdr:spPr>
        <a:xfrm>
          <a:off x="9742715" y="2952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16</xdr:row>
      <xdr:rowOff>19050</xdr:rowOff>
    </xdr:from>
    <xdr:to>
      <xdr:col>34</xdr:col>
      <xdr:colOff>122465</xdr:colOff>
      <xdr:row>16</xdr:row>
      <xdr:rowOff>133350</xdr:rowOff>
    </xdr:to>
    <xdr:sp macro="" textlink="">
      <xdr:nvSpPr>
        <xdr:cNvPr id="22789" name="직사각형 22788">
          <a:extLst>
            <a:ext uri="{FF2B5EF4-FFF2-40B4-BE49-F238E27FC236}">
              <a16:creationId xmlns:a16="http://schemas.microsoft.com/office/drawing/2014/main" xmlns="" id="{5EF5FD4C-13B5-43F4-369D-C567BE59BD3F}"/>
            </a:ext>
          </a:extLst>
        </xdr:cNvPr>
        <xdr:cNvSpPr/>
      </xdr:nvSpPr>
      <xdr:spPr>
        <a:xfrm>
          <a:off x="9048750" y="2590800"/>
          <a:ext cx="6939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16</xdr:row>
      <xdr:rowOff>76200</xdr:rowOff>
    </xdr:from>
    <xdr:to>
      <xdr:col>30</xdr:col>
      <xdr:colOff>0</xdr:colOff>
      <xdr:row>16</xdr:row>
      <xdr:rowOff>76200</xdr:rowOff>
    </xdr:to>
    <xdr:cxnSp macro="">
      <xdr:nvCxnSpPr>
        <xdr:cNvPr id="22790" name="직선 화살표 연결선 22789">
          <a:extLst>
            <a:ext uri="{FF2B5EF4-FFF2-40B4-BE49-F238E27FC236}">
              <a16:creationId xmlns:a16="http://schemas.microsoft.com/office/drawing/2014/main" xmlns="" id="{62EF666D-25CE-28D5-8018-F485B4067647}"/>
            </a:ext>
          </a:extLst>
        </xdr:cNvPr>
        <xdr:cNvCxnSpPr/>
      </xdr:nvCxnSpPr>
      <xdr:spPr>
        <a:xfrm>
          <a:off x="9048750" y="2647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15</xdr:row>
      <xdr:rowOff>19050</xdr:rowOff>
    </xdr:from>
    <xdr:to>
      <xdr:col>34</xdr:col>
      <xdr:colOff>122465</xdr:colOff>
      <xdr:row>15</xdr:row>
      <xdr:rowOff>133350</xdr:rowOff>
    </xdr:to>
    <xdr:sp macro="" textlink="">
      <xdr:nvSpPr>
        <xdr:cNvPr id="22791" name="직사각형 22790">
          <a:extLst>
            <a:ext uri="{FF2B5EF4-FFF2-40B4-BE49-F238E27FC236}">
              <a16:creationId xmlns:a16="http://schemas.microsoft.com/office/drawing/2014/main" xmlns="" id="{A3381B01-7C81-74C3-5F1C-E72A2E356CE9}"/>
            </a:ext>
          </a:extLst>
        </xdr:cNvPr>
        <xdr:cNvSpPr/>
      </xdr:nvSpPr>
      <xdr:spPr>
        <a:xfrm>
          <a:off x="9048750" y="2438400"/>
          <a:ext cx="6939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15</xdr:row>
      <xdr:rowOff>76200</xdr:rowOff>
    </xdr:from>
    <xdr:to>
      <xdr:col>30</xdr:col>
      <xdr:colOff>0</xdr:colOff>
      <xdr:row>15</xdr:row>
      <xdr:rowOff>76200</xdr:rowOff>
    </xdr:to>
    <xdr:cxnSp macro="">
      <xdr:nvCxnSpPr>
        <xdr:cNvPr id="22792" name="직선 화살표 연결선 22791">
          <a:extLst>
            <a:ext uri="{FF2B5EF4-FFF2-40B4-BE49-F238E27FC236}">
              <a16:creationId xmlns:a16="http://schemas.microsoft.com/office/drawing/2014/main" xmlns="" id="{D23BB45F-9407-EC6C-3D85-B82E04AB0C72}"/>
            </a:ext>
          </a:extLst>
        </xdr:cNvPr>
        <xdr:cNvCxnSpPr/>
      </xdr:nvCxnSpPr>
      <xdr:spPr>
        <a:xfrm>
          <a:off x="9048750" y="2495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14</xdr:row>
      <xdr:rowOff>19050</xdr:rowOff>
    </xdr:from>
    <xdr:to>
      <xdr:col>34</xdr:col>
      <xdr:colOff>122465</xdr:colOff>
      <xdr:row>14</xdr:row>
      <xdr:rowOff>133350</xdr:rowOff>
    </xdr:to>
    <xdr:sp macro="" textlink="">
      <xdr:nvSpPr>
        <xdr:cNvPr id="22793" name="직사각형 22792">
          <a:extLst>
            <a:ext uri="{FF2B5EF4-FFF2-40B4-BE49-F238E27FC236}">
              <a16:creationId xmlns:a16="http://schemas.microsoft.com/office/drawing/2014/main" xmlns="" id="{EB356DA2-291E-F861-69B9-20B6FCE2F3DF}"/>
            </a:ext>
          </a:extLst>
        </xdr:cNvPr>
        <xdr:cNvSpPr/>
      </xdr:nvSpPr>
      <xdr:spPr>
        <a:xfrm>
          <a:off x="9048750" y="2286000"/>
          <a:ext cx="6939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14</xdr:row>
      <xdr:rowOff>76200</xdr:rowOff>
    </xdr:from>
    <xdr:to>
      <xdr:col>30</xdr:col>
      <xdr:colOff>0</xdr:colOff>
      <xdr:row>14</xdr:row>
      <xdr:rowOff>76200</xdr:rowOff>
    </xdr:to>
    <xdr:cxnSp macro="">
      <xdr:nvCxnSpPr>
        <xdr:cNvPr id="22794" name="직선 화살표 연결선 22793">
          <a:extLst>
            <a:ext uri="{FF2B5EF4-FFF2-40B4-BE49-F238E27FC236}">
              <a16:creationId xmlns:a16="http://schemas.microsoft.com/office/drawing/2014/main" xmlns="" id="{B3063FDF-1D9D-0D4C-FE1C-0E5EED8D3DA0}"/>
            </a:ext>
          </a:extLst>
        </xdr:cNvPr>
        <xdr:cNvCxnSpPr/>
      </xdr:nvCxnSpPr>
      <xdr:spPr>
        <a:xfrm>
          <a:off x="9048750" y="2343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13</xdr:row>
      <xdr:rowOff>19050</xdr:rowOff>
    </xdr:from>
    <xdr:to>
      <xdr:col>34</xdr:col>
      <xdr:colOff>122465</xdr:colOff>
      <xdr:row>13</xdr:row>
      <xdr:rowOff>133350</xdr:rowOff>
    </xdr:to>
    <xdr:sp macro="" textlink="">
      <xdr:nvSpPr>
        <xdr:cNvPr id="22795" name="직사각형 22794">
          <a:extLst>
            <a:ext uri="{FF2B5EF4-FFF2-40B4-BE49-F238E27FC236}">
              <a16:creationId xmlns:a16="http://schemas.microsoft.com/office/drawing/2014/main" xmlns="" id="{6FAB0B1F-5287-CBC8-4DB8-77D4268EB07C}"/>
            </a:ext>
          </a:extLst>
        </xdr:cNvPr>
        <xdr:cNvSpPr/>
      </xdr:nvSpPr>
      <xdr:spPr>
        <a:xfrm>
          <a:off x="9048750" y="2133600"/>
          <a:ext cx="6939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13</xdr:row>
      <xdr:rowOff>76200</xdr:rowOff>
    </xdr:from>
    <xdr:to>
      <xdr:col>30</xdr:col>
      <xdr:colOff>0</xdr:colOff>
      <xdr:row>13</xdr:row>
      <xdr:rowOff>76200</xdr:rowOff>
    </xdr:to>
    <xdr:cxnSp macro="">
      <xdr:nvCxnSpPr>
        <xdr:cNvPr id="22796" name="직선 화살표 연결선 22795">
          <a:extLst>
            <a:ext uri="{FF2B5EF4-FFF2-40B4-BE49-F238E27FC236}">
              <a16:creationId xmlns:a16="http://schemas.microsoft.com/office/drawing/2014/main" xmlns="" id="{7534A753-5E8F-3A49-8CAC-645D57196E30}"/>
            </a:ext>
          </a:extLst>
        </xdr:cNvPr>
        <xdr:cNvCxnSpPr/>
      </xdr:nvCxnSpPr>
      <xdr:spPr>
        <a:xfrm>
          <a:off x="9048750" y="2190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12</xdr:row>
      <xdr:rowOff>19050</xdr:rowOff>
    </xdr:from>
    <xdr:to>
      <xdr:col>34</xdr:col>
      <xdr:colOff>122465</xdr:colOff>
      <xdr:row>12</xdr:row>
      <xdr:rowOff>133350</xdr:rowOff>
    </xdr:to>
    <xdr:sp macro="" textlink="">
      <xdr:nvSpPr>
        <xdr:cNvPr id="22797" name="직사각형 22796">
          <a:extLst>
            <a:ext uri="{FF2B5EF4-FFF2-40B4-BE49-F238E27FC236}">
              <a16:creationId xmlns:a16="http://schemas.microsoft.com/office/drawing/2014/main" xmlns="" id="{0F042D88-DE38-D967-FAF3-52B14222659F}"/>
            </a:ext>
          </a:extLst>
        </xdr:cNvPr>
        <xdr:cNvSpPr/>
      </xdr:nvSpPr>
      <xdr:spPr>
        <a:xfrm>
          <a:off x="9048750" y="1981200"/>
          <a:ext cx="6939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12</xdr:row>
      <xdr:rowOff>76200</xdr:rowOff>
    </xdr:from>
    <xdr:to>
      <xdr:col>30</xdr:col>
      <xdr:colOff>0</xdr:colOff>
      <xdr:row>12</xdr:row>
      <xdr:rowOff>76200</xdr:rowOff>
    </xdr:to>
    <xdr:cxnSp macro="">
      <xdr:nvCxnSpPr>
        <xdr:cNvPr id="22798" name="직선 화살표 연결선 22797">
          <a:extLst>
            <a:ext uri="{FF2B5EF4-FFF2-40B4-BE49-F238E27FC236}">
              <a16:creationId xmlns:a16="http://schemas.microsoft.com/office/drawing/2014/main" xmlns="" id="{CFBDFD1A-6AF7-6324-B9FB-47BB368C95AE}"/>
            </a:ext>
          </a:extLst>
        </xdr:cNvPr>
        <xdr:cNvCxnSpPr/>
      </xdr:nvCxnSpPr>
      <xdr:spPr>
        <a:xfrm>
          <a:off x="9048750" y="2038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11</xdr:row>
      <xdr:rowOff>19050</xdr:rowOff>
    </xdr:from>
    <xdr:to>
      <xdr:col>34</xdr:col>
      <xdr:colOff>122465</xdr:colOff>
      <xdr:row>11</xdr:row>
      <xdr:rowOff>133350</xdr:rowOff>
    </xdr:to>
    <xdr:sp macro="" textlink="">
      <xdr:nvSpPr>
        <xdr:cNvPr id="22799" name="직사각형 22798">
          <a:extLst>
            <a:ext uri="{FF2B5EF4-FFF2-40B4-BE49-F238E27FC236}">
              <a16:creationId xmlns:a16="http://schemas.microsoft.com/office/drawing/2014/main" xmlns="" id="{6E1E884F-43F3-C0D7-CA68-A460BE3B94BF}"/>
            </a:ext>
          </a:extLst>
        </xdr:cNvPr>
        <xdr:cNvSpPr/>
      </xdr:nvSpPr>
      <xdr:spPr>
        <a:xfrm>
          <a:off x="9048750" y="1828800"/>
          <a:ext cx="6939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11</xdr:row>
      <xdr:rowOff>76200</xdr:rowOff>
    </xdr:from>
    <xdr:to>
      <xdr:col>30</xdr:col>
      <xdr:colOff>0</xdr:colOff>
      <xdr:row>11</xdr:row>
      <xdr:rowOff>76200</xdr:rowOff>
    </xdr:to>
    <xdr:cxnSp macro="">
      <xdr:nvCxnSpPr>
        <xdr:cNvPr id="22800" name="직선 화살표 연결선 22799">
          <a:extLst>
            <a:ext uri="{FF2B5EF4-FFF2-40B4-BE49-F238E27FC236}">
              <a16:creationId xmlns:a16="http://schemas.microsoft.com/office/drawing/2014/main" xmlns="" id="{A3F5E173-B19B-3B0F-B275-A85E0E203DD0}"/>
            </a:ext>
          </a:extLst>
        </xdr:cNvPr>
        <xdr:cNvCxnSpPr/>
      </xdr:nvCxnSpPr>
      <xdr:spPr>
        <a:xfrm>
          <a:off x="9048750" y="1885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10</xdr:row>
      <xdr:rowOff>19050</xdr:rowOff>
    </xdr:from>
    <xdr:to>
      <xdr:col>34</xdr:col>
      <xdr:colOff>122465</xdr:colOff>
      <xdr:row>10</xdr:row>
      <xdr:rowOff>133350</xdr:rowOff>
    </xdr:to>
    <xdr:sp macro="" textlink="">
      <xdr:nvSpPr>
        <xdr:cNvPr id="22801" name="직사각형 22800">
          <a:extLst>
            <a:ext uri="{FF2B5EF4-FFF2-40B4-BE49-F238E27FC236}">
              <a16:creationId xmlns:a16="http://schemas.microsoft.com/office/drawing/2014/main" xmlns="" id="{D0613ED6-7549-82A3-1BAA-7647ADCB6031}"/>
            </a:ext>
          </a:extLst>
        </xdr:cNvPr>
        <xdr:cNvSpPr/>
      </xdr:nvSpPr>
      <xdr:spPr>
        <a:xfrm>
          <a:off x="9048750" y="1676400"/>
          <a:ext cx="6939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10</xdr:row>
      <xdr:rowOff>76200</xdr:rowOff>
    </xdr:from>
    <xdr:to>
      <xdr:col>30</xdr:col>
      <xdr:colOff>0</xdr:colOff>
      <xdr:row>10</xdr:row>
      <xdr:rowOff>76200</xdr:rowOff>
    </xdr:to>
    <xdr:cxnSp macro="">
      <xdr:nvCxnSpPr>
        <xdr:cNvPr id="22802" name="직선 화살표 연결선 22801">
          <a:extLst>
            <a:ext uri="{FF2B5EF4-FFF2-40B4-BE49-F238E27FC236}">
              <a16:creationId xmlns:a16="http://schemas.microsoft.com/office/drawing/2014/main" xmlns="" id="{C1A071B7-3B65-A167-3071-E4A8F69DCDB1}"/>
            </a:ext>
          </a:extLst>
        </xdr:cNvPr>
        <xdr:cNvCxnSpPr/>
      </xdr:nvCxnSpPr>
      <xdr:spPr>
        <a:xfrm>
          <a:off x="9048750" y="1733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9</xdr:row>
      <xdr:rowOff>19050</xdr:rowOff>
    </xdr:from>
    <xdr:to>
      <xdr:col>34</xdr:col>
      <xdr:colOff>122465</xdr:colOff>
      <xdr:row>9</xdr:row>
      <xdr:rowOff>133350</xdr:rowOff>
    </xdr:to>
    <xdr:sp macro="" textlink="">
      <xdr:nvSpPr>
        <xdr:cNvPr id="22803" name="직사각형 22802">
          <a:extLst>
            <a:ext uri="{FF2B5EF4-FFF2-40B4-BE49-F238E27FC236}">
              <a16:creationId xmlns:a16="http://schemas.microsoft.com/office/drawing/2014/main" xmlns="" id="{FDCCB918-6D17-24F9-4B9C-1302DE614AD4}"/>
            </a:ext>
          </a:extLst>
        </xdr:cNvPr>
        <xdr:cNvSpPr/>
      </xdr:nvSpPr>
      <xdr:spPr>
        <a:xfrm>
          <a:off x="9048750" y="1524000"/>
          <a:ext cx="6939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9</xdr:row>
      <xdr:rowOff>76200</xdr:rowOff>
    </xdr:from>
    <xdr:to>
      <xdr:col>30</xdr:col>
      <xdr:colOff>0</xdr:colOff>
      <xdr:row>9</xdr:row>
      <xdr:rowOff>76200</xdr:rowOff>
    </xdr:to>
    <xdr:cxnSp macro="">
      <xdr:nvCxnSpPr>
        <xdr:cNvPr id="22804" name="직선 화살표 연결선 22803">
          <a:extLst>
            <a:ext uri="{FF2B5EF4-FFF2-40B4-BE49-F238E27FC236}">
              <a16:creationId xmlns:a16="http://schemas.microsoft.com/office/drawing/2014/main" xmlns="" id="{BF4EA8A6-9F33-90A8-454F-55EF687EC24E}"/>
            </a:ext>
          </a:extLst>
        </xdr:cNvPr>
        <xdr:cNvCxnSpPr/>
      </xdr:nvCxnSpPr>
      <xdr:spPr>
        <a:xfrm>
          <a:off x="9048750" y="1581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8</xdr:row>
      <xdr:rowOff>19050</xdr:rowOff>
    </xdr:from>
    <xdr:to>
      <xdr:col>30</xdr:col>
      <xdr:colOff>20410</xdr:colOff>
      <xdr:row>8</xdr:row>
      <xdr:rowOff>133350</xdr:rowOff>
    </xdr:to>
    <xdr:sp macro="" textlink="">
      <xdr:nvSpPr>
        <xdr:cNvPr id="22805" name="직사각형 22804">
          <a:extLst>
            <a:ext uri="{FF2B5EF4-FFF2-40B4-BE49-F238E27FC236}">
              <a16:creationId xmlns:a16="http://schemas.microsoft.com/office/drawing/2014/main" xmlns="" id="{20B7B117-9C82-8BC6-65F8-1D1D8B81DD64}"/>
            </a:ext>
          </a:extLst>
        </xdr:cNvPr>
        <xdr:cNvSpPr/>
      </xdr:nvSpPr>
      <xdr:spPr>
        <a:xfrm>
          <a:off x="8905875" y="1371600"/>
          <a:ext cx="1632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0</xdr:colOff>
      <xdr:row>8</xdr:row>
      <xdr:rowOff>76200</xdr:rowOff>
    </xdr:from>
    <xdr:to>
      <xdr:col>30</xdr:col>
      <xdr:colOff>20410</xdr:colOff>
      <xdr:row>8</xdr:row>
      <xdr:rowOff>76200</xdr:rowOff>
    </xdr:to>
    <xdr:cxnSp macro="">
      <xdr:nvCxnSpPr>
        <xdr:cNvPr id="22806" name="직선 화살표 연결선 22805">
          <a:extLst>
            <a:ext uri="{FF2B5EF4-FFF2-40B4-BE49-F238E27FC236}">
              <a16:creationId xmlns:a16="http://schemas.microsoft.com/office/drawing/2014/main" xmlns="" id="{33B276BC-116C-1F1A-24A3-8C72C02C9B79}"/>
            </a:ext>
          </a:extLst>
        </xdr:cNvPr>
        <xdr:cNvCxnSpPr/>
      </xdr:nvCxnSpPr>
      <xdr:spPr>
        <a:xfrm>
          <a:off x="8905875" y="1428750"/>
          <a:ext cx="1632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xdr:row>
      <xdr:rowOff>19050</xdr:rowOff>
    </xdr:from>
    <xdr:to>
      <xdr:col>30</xdr:col>
      <xdr:colOff>20410</xdr:colOff>
      <xdr:row>7</xdr:row>
      <xdr:rowOff>133350</xdr:rowOff>
    </xdr:to>
    <xdr:sp macro="" textlink="">
      <xdr:nvSpPr>
        <xdr:cNvPr id="22807" name="직사각형 22806">
          <a:extLst>
            <a:ext uri="{FF2B5EF4-FFF2-40B4-BE49-F238E27FC236}">
              <a16:creationId xmlns:a16="http://schemas.microsoft.com/office/drawing/2014/main" xmlns="" id="{789D84FB-A42A-0271-F494-69FC22ED993F}"/>
            </a:ext>
          </a:extLst>
        </xdr:cNvPr>
        <xdr:cNvSpPr/>
      </xdr:nvSpPr>
      <xdr:spPr>
        <a:xfrm>
          <a:off x="8905875" y="1219200"/>
          <a:ext cx="16328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0</xdr:colOff>
      <xdr:row>7</xdr:row>
      <xdr:rowOff>76200</xdr:rowOff>
    </xdr:from>
    <xdr:to>
      <xdr:col>30</xdr:col>
      <xdr:colOff>20410</xdr:colOff>
      <xdr:row>7</xdr:row>
      <xdr:rowOff>76200</xdr:rowOff>
    </xdr:to>
    <xdr:cxnSp macro="">
      <xdr:nvCxnSpPr>
        <xdr:cNvPr id="22808" name="직선 화살표 연결선 22807">
          <a:extLst>
            <a:ext uri="{FF2B5EF4-FFF2-40B4-BE49-F238E27FC236}">
              <a16:creationId xmlns:a16="http://schemas.microsoft.com/office/drawing/2014/main" xmlns="" id="{1F5D33C1-1F0C-3222-7DF0-AEDE6C24B024}"/>
            </a:ext>
          </a:extLst>
        </xdr:cNvPr>
        <xdr:cNvCxnSpPr/>
      </xdr:nvCxnSpPr>
      <xdr:spPr>
        <a:xfrm>
          <a:off x="8905875" y="1276350"/>
          <a:ext cx="1632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6</xdr:row>
      <xdr:rowOff>19050</xdr:rowOff>
    </xdr:from>
    <xdr:to>
      <xdr:col>29</xdr:col>
      <xdr:colOff>0</xdr:colOff>
      <xdr:row>6</xdr:row>
      <xdr:rowOff>133350</xdr:rowOff>
    </xdr:to>
    <xdr:sp macro="" textlink="">
      <xdr:nvSpPr>
        <xdr:cNvPr id="22809" name="직사각형 22808">
          <a:extLst>
            <a:ext uri="{FF2B5EF4-FFF2-40B4-BE49-F238E27FC236}">
              <a16:creationId xmlns:a16="http://schemas.microsoft.com/office/drawing/2014/main" xmlns="" id="{39E108B3-A013-7DC5-C5AA-8C19F0F7F882}"/>
            </a:ext>
          </a:extLst>
        </xdr:cNvPr>
        <xdr:cNvSpPr/>
      </xdr:nvSpPr>
      <xdr:spPr>
        <a:xfrm>
          <a:off x="8885465" y="10668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6</xdr:row>
      <xdr:rowOff>76200</xdr:rowOff>
    </xdr:from>
    <xdr:to>
      <xdr:col>29</xdr:col>
      <xdr:colOff>0</xdr:colOff>
      <xdr:row>6</xdr:row>
      <xdr:rowOff>76200</xdr:rowOff>
    </xdr:to>
    <xdr:cxnSp macro="">
      <xdr:nvCxnSpPr>
        <xdr:cNvPr id="22810" name="직선 화살표 연결선 22809">
          <a:extLst>
            <a:ext uri="{FF2B5EF4-FFF2-40B4-BE49-F238E27FC236}">
              <a16:creationId xmlns:a16="http://schemas.microsoft.com/office/drawing/2014/main" xmlns="" id="{E51483FF-98B7-DD4F-E1BF-DDC24E158B7C}"/>
            </a:ext>
          </a:extLst>
        </xdr:cNvPr>
        <xdr:cNvCxnSpPr/>
      </xdr:nvCxnSpPr>
      <xdr:spPr>
        <a:xfrm>
          <a:off x="8885465" y="11239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5</xdr:row>
      <xdr:rowOff>19050</xdr:rowOff>
    </xdr:from>
    <xdr:to>
      <xdr:col>30</xdr:col>
      <xdr:colOff>20410</xdr:colOff>
      <xdr:row>5</xdr:row>
      <xdr:rowOff>133350</xdr:rowOff>
    </xdr:to>
    <xdr:sp macro="" textlink="">
      <xdr:nvSpPr>
        <xdr:cNvPr id="22811" name="직사각형 22810">
          <a:extLst>
            <a:ext uri="{FF2B5EF4-FFF2-40B4-BE49-F238E27FC236}">
              <a16:creationId xmlns:a16="http://schemas.microsoft.com/office/drawing/2014/main" xmlns="" id="{929CBF11-27F1-89B8-5B57-01E737620F27}"/>
            </a:ext>
          </a:extLst>
        </xdr:cNvPr>
        <xdr:cNvSpPr/>
      </xdr:nvSpPr>
      <xdr:spPr>
        <a:xfrm>
          <a:off x="8885465" y="914400"/>
          <a:ext cx="18369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5</xdr:row>
      <xdr:rowOff>76200</xdr:rowOff>
    </xdr:from>
    <xdr:to>
      <xdr:col>30</xdr:col>
      <xdr:colOff>20410</xdr:colOff>
      <xdr:row>5</xdr:row>
      <xdr:rowOff>76200</xdr:rowOff>
    </xdr:to>
    <xdr:cxnSp macro="">
      <xdr:nvCxnSpPr>
        <xdr:cNvPr id="22812" name="직선 화살표 연결선 22811">
          <a:extLst>
            <a:ext uri="{FF2B5EF4-FFF2-40B4-BE49-F238E27FC236}">
              <a16:creationId xmlns:a16="http://schemas.microsoft.com/office/drawing/2014/main" xmlns="" id="{24F99BBB-4256-A493-044F-9FEEFF71581E}"/>
            </a:ext>
          </a:extLst>
        </xdr:cNvPr>
        <xdr:cNvCxnSpPr/>
      </xdr:nvCxnSpPr>
      <xdr:spPr>
        <a:xfrm>
          <a:off x="8885465" y="971550"/>
          <a:ext cx="18369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4</xdr:row>
      <xdr:rowOff>19050</xdr:rowOff>
    </xdr:from>
    <xdr:to>
      <xdr:col>36</xdr:col>
      <xdr:colOff>0</xdr:colOff>
      <xdr:row>4</xdr:row>
      <xdr:rowOff>133350</xdr:rowOff>
    </xdr:to>
    <xdr:sp macro="" textlink="">
      <xdr:nvSpPr>
        <xdr:cNvPr id="22813" name="직사각형 22812">
          <a:extLst>
            <a:ext uri="{FF2B5EF4-FFF2-40B4-BE49-F238E27FC236}">
              <a16:creationId xmlns:a16="http://schemas.microsoft.com/office/drawing/2014/main" xmlns="" id="{9C463EC9-728F-4FC7-C0BF-C0FDAD7495E4}"/>
            </a:ext>
          </a:extLst>
        </xdr:cNvPr>
        <xdr:cNvSpPr/>
      </xdr:nvSpPr>
      <xdr:spPr>
        <a:xfrm>
          <a:off x="8885465" y="762000"/>
          <a:ext cx="10205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4</xdr:row>
      <xdr:rowOff>76200</xdr:rowOff>
    </xdr:from>
    <xdr:to>
      <xdr:col>29</xdr:col>
      <xdr:colOff>17387</xdr:colOff>
      <xdr:row>4</xdr:row>
      <xdr:rowOff>76200</xdr:rowOff>
    </xdr:to>
    <xdr:cxnSp macro="">
      <xdr:nvCxnSpPr>
        <xdr:cNvPr id="22814" name="직선 화살표 연결선 22813">
          <a:extLst>
            <a:ext uri="{FF2B5EF4-FFF2-40B4-BE49-F238E27FC236}">
              <a16:creationId xmlns:a16="http://schemas.microsoft.com/office/drawing/2014/main" xmlns="" id="{1D54D33C-6823-FD21-6DE9-8D96CB211213}"/>
            </a:ext>
          </a:extLst>
        </xdr:cNvPr>
        <xdr:cNvCxnSpPr/>
      </xdr:nvCxnSpPr>
      <xdr:spPr>
        <a:xfrm>
          <a:off x="8885465" y="819150"/>
          <a:ext cx="377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173831</xdr:colOff>
      <xdr:row>5</xdr:row>
      <xdr:rowOff>0</xdr:rowOff>
    </xdr:from>
    <xdr:to>
      <xdr:col>12</xdr:col>
      <xdr:colOff>573881</xdr:colOff>
      <xdr:row>18</xdr:row>
      <xdr:rowOff>76200</xdr:rowOff>
    </xdr:to>
    <xdr:graphicFrame macro="">
      <xdr:nvGraphicFramePr>
        <xdr:cNvPr id="2" name="차트 1">
          <a:extLst>
            <a:ext uri="{FF2B5EF4-FFF2-40B4-BE49-F238E27FC236}">
              <a16:creationId xmlns:a16="http://schemas.microsoft.com/office/drawing/2014/main" xmlns=""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115" zoomScaleNormal="115" workbookViewId="0">
      <selection activeCell="B19" sqref="B19"/>
    </sheetView>
  </sheetViews>
  <sheetFormatPr defaultColWidth="10" defaultRowHeight="12.75"/>
  <cols>
    <col min="1" max="1" width="28.25" style="81" bestFit="1" customWidth="1"/>
    <col min="2" max="2" width="23.125" style="80" bestFit="1" customWidth="1"/>
    <col min="3" max="3" width="21.75" style="80" customWidth="1"/>
    <col min="4" max="4" width="27.375" style="80" bestFit="1" customWidth="1"/>
    <col min="5" max="5" width="12.875" style="80" bestFit="1" customWidth="1"/>
    <col min="6" max="6" width="17.75" style="80" bestFit="1" customWidth="1"/>
    <col min="7" max="7" width="21.875" style="81" bestFit="1" customWidth="1"/>
    <col min="8" max="8" width="23.75" style="81" bestFit="1" customWidth="1"/>
    <col min="9" max="9" width="9.75" style="81" bestFit="1" customWidth="1"/>
    <col min="10" max="10" width="25.125" style="81" bestFit="1" customWidth="1"/>
    <col min="11" max="11" width="4.875" style="81" bestFit="1" customWidth="1"/>
    <col min="12" max="12" width="25.125" style="81" bestFit="1" customWidth="1"/>
    <col min="13" max="13" width="4.875" style="81" bestFit="1" customWidth="1"/>
    <col min="14" max="14" width="23" style="81" bestFit="1" customWidth="1"/>
    <col min="15" max="15" width="14.5" style="81" customWidth="1"/>
    <col min="16" max="16" width="28.375" style="81" bestFit="1" customWidth="1"/>
    <col min="17" max="17" width="9.5" style="81" bestFit="1" customWidth="1"/>
    <col min="18" max="18" width="27.75" style="81" bestFit="1" customWidth="1"/>
    <col min="19" max="19" width="4.875" style="81" bestFit="1" customWidth="1"/>
    <col min="20" max="20" width="25" style="81" bestFit="1" customWidth="1"/>
    <col min="21" max="21" width="4.375" style="81" bestFit="1" customWidth="1"/>
    <col min="22" max="22" width="23" style="81" bestFit="1" customWidth="1"/>
    <col min="23" max="23" width="8.125" style="81" bestFit="1" customWidth="1"/>
    <col min="24" max="24" width="22.625" style="81" bestFit="1" customWidth="1"/>
    <col min="25" max="25" width="9.5" style="81" bestFit="1" customWidth="1"/>
    <col min="26" max="26" width="26.25" style="81" bestFit="1" customWidth="1"/>
    <col min="27" max="27" width="7.875" style="81" bestFit="1" customWidth="1"/>
    <col min="28" max="28" width="21.25" style="81" bestFit="1" customWidth="1"/>
    <col min="29" max="29" width="15.625" style="81" bestFit="1" customWidth="1"/>
    <col min="30" max="30" width="23.5" style="81" bestFit="1" customWidth="1"/>
    <col min="31" max="31" width="15.25" style="81" bestFit="1" customWidth="1"/>
    <col min="32" max="32" width="22.625" style="81" bestFit="1" customWidth="1"/>
    <col min="33" max="33" width="60.875" style="81" bestFit="1" customWidth="1"/>
    <col min="34" max="34" width="28.375" style="81" bestFit="1" customWidth="1"/>
    <col min="35" max="35" width="11.5" style="81" bestFit="1" customWidth="1"/>
    <col min="36" max="36" width="25.125" style="81" bestFit="1" customWidth="1"/>
    <col min="37" max="37" width="4" style="81" bestFit="1" customWidth="1"/>
    <col min="38" max="38" width="14.875" style="81" bestFit="1" customWidth="1"/>
    <col min="39" max="39" width="11.625" style="81" bestFit="1" customWidth="1"/>
    <col min="40" max="40" width="22.625" style="81" bestFit="1" customWidth="1"/>
    <col min="41" max="41" width="5.875" style="81" bestFit="1" customWidth="1"/>
    <col min="42" max="42" width="15.875" style="81" bestFit="1" customWidth="1"/>
    <col min="43" max="43" width="6.375" style="81" bestFit="1" customWidth="1"/>
    <col min="44" max="44" width="13.25" style="81" bestFit="1" customWidth="1"/>
    <col min="45" max="45" width="3.25" style="81" bestFit="1" customWidth="1"/>
    <col min="46" max="46" width="14.875" style="81" bestFit="1" customWidth="1"/>
    <col min="47" max="47" width="28.625" style="81" bestFit="1" customWidth="1"/>
    <col min="48" max="48" width="22.625" style="81" bestFit="1" customWidth="1"/>
    <col min="49" max="49" width="5.375" style="81" bestFit="1" customWidth="1"/>
    <col min="50" max="50" width="15.875" style="81" bestFit="1" customWidth="1"/>
    <col min="51" max="51" width="10" style="81"/>
    <col min="52" max="52" width="13.25" style="81" bestFit="1" customWidth="1"/>
    <col min="53" max="53" width="10" style="81"/>
    <col min="54" max="54" width="14.875" style="81" bestFit="1" customWidth="1"/>
    <col min="55" max="55" width="10" style="81"/>
    <col min="56" max="56" width="22.625" style="81" bestFit="1" customWidth="1"/>
    <col min="57" max="57" width="10" style="81"/>
    <col min="58" max="58" width="15.875" style="81" bestFit="1" customWidth="1"/>
    <col min="59" max="59" width="10" style="81"/>
    <col min="60" max="60" width="13.25" style="81" bestFit="1" customWidth="1"/>
    <col min="61" max="61" width="10" style="81"/>
    <col min="62" max="62" width="14.875" style="81" bestFit="1" customWidth="1"/>
    <col min="63" max="63" width="10" style="81"/>
    <col min="64" max="64" width="22.625" style="81" bestFit="1" customWidth="1"/>
    <col min="65" max="65" width="10" style="81"/>
    <col min="66" max="66" width="33.75" style="81" bestFit="1" customWidth="1"/>
    <col min="67" max="16384" width="10" style="81"/>
  </cols>
  <sheetData>
    <row r="1" spans="1:64" s="80" customFormat="1">
      <c r="A1" s="79" t="s">
        <v>0</v>
      </c>
      <c r="B1" s="79" t="s">
        <v>1</v>
      </c>
      <c r="C1" s="79" t="s">
        <v>2</v>
      </c>
      <c r="D1" s="79" t="s">
        <v>3</v>
      </c>
      <c r="E1" s="79" t="s">
        <v>4</v>
      </c>
      <c r="F1" s="79" t="s">
        <v>5</v>
      </c>
    </row>
    <row r="2" spans="1:64">
      <c r="A2" s="81" t="s">
        <v>6</v>
      </c>
      <c r="B2" s="80" t="s">
        <v>7</v>
      </c>
      <c r="E2" s="80" t="s">
        <v>8</v>
      </c>
    </row>
    <row r="3" spans="1:64">
      <c r="A3" s="81" t="s">
        <v>9</v>
      </c>
      <c r="B3" s="80" t="s">
        <v>7</v>
      </c>
      <c r="E3" s="80" t="s">
        <v>8</v>
      </c>
    </row>
    <row r="4" spans="1:64">
      <c r="A4" s="81" t="s">
        <v>10</v>
      </c>
      <c r="B4" s="89" t="s">
        <v>11</v>
      </c>
      <c r="E4" s="80" t="s">
        <v>8</v>
      </c>
    </row>
    <row r="5" spans="1:64">
      <c r="A5" s="81" t="s">
        <v>12</v>
      </c>
      <c r="B5" s="80" t="s">
        <v>13</v>
      </c>
      <c r="E5" s="80" t="s">
        <v>8</v>
      </c>
    </row>
    <row r="6" spans="1:64">
      <c r="A6" s="81" t="s">
        <v>14</v>
      </c>
      <c r="B6" s="89" t="s">
        <v>15</v>
      </c>
      <c r="E6" s="80" t="s">
        <v>8</v>
      </c>
    </row>
    <row r="7" spans="1:64">
      <c r="A7" s="81" t="s">
        <v>16</v>
      </c>
      <c r="B7" s="81" t="s">
        <v>7</v>
      </c>
      <c r="E7" s="80" t="s">
        <v>8</v>
      </c>
    </row>
    <row r="8" spans="1:64">
      <c r="A8" s="81" t="s">
        <v>17</v>
      </c>
      <c r="B8" s="82" t="s">
        <v>18</v>
      </c>
      <c r="C8" s="80" t="s">
        <v>19</v>
      </c>
      <c r="D8" s="80">
        <v>82</v>
      </c>
      <c r="E8" s="80" t="s">
        <v>8</v>
      </c>
    </row>
    <row r="9" spans="1:64">
      <c r="A9" s="81" t="s">
        <v>20</v>
      </c>
      <c r="B9" s="83">
        <v>43387</v>
      </c>
      <c r="E9" s="80" t="s">
        <v>8</v>
      </c>
    </row>
    <row r="10" spans="1:64">
      <c r="A10" s="84" t="s">
        <v>21</v>
      </c>
      <c r="B10" s="85" t="s">
        <v>22</v>
      </c>
      <c r="C10" s="85"/>
      <c r="D10" s="85"/>
      <c r="E10" s="85" t="s">
        <v>8</v>
      </c>
      <c r="F10" s="85"/>
    </row>
    <row r="11" spans="1:64">
      <c r="A11" s="81" t="s">
        <v>23</v>
      </c>
      <c r="B11" s="83" t="s">
        <v>24</v>
      </c>
      <c r="C11" s="80" t="s">
        <v>1164</v>
      </c>
      <c r="D11" s="80" t="s">
        <v>25</v>
      </c>
      <c r="E11" s="86">
        <v>1</v>
      </c>
      <c r="F11" s="87" t="s">
        <v>26</v>
      </c>
      <c r="G11" s="88">
        <v>44863</v>
      </c>
      <c r="H11" s="87" t="s">
        <v>27</v>
      </c>
      <c r="I11" s="88">
        <v>44912</v>
      </c>
      <c r="J11" s="81" t="s">
        <v>28</v>
      </c>
      <c r="K11" s="81" t="s">
        <v>29</v>
      </c>
      <c r="L11" s="81" t="s">
        <v>30</v>
      </c>
      <c r="M11" s="81">
        <v>1</v>
      </c>
      <c r="N11" s="83" t="s">
        <v>31</v>
      </c>
      <c r="O11" s="80">
        <v>0</v>
      </c>
      <c r="P11" s="80" t="s">
        <v>32</v>
      </c>
      <c r="Q11" s="83" t="s">
        <v>33</v>
      </c>
      <c r="R11" s="81" t="s">
        <v>34</v>
      </c>
      <c r="S11" s="81">
        <v>1</v>
      </c>
      <c r="T11" s="81" t="s">
        <v>35</v>
      </c>
      <c r="U11" s="81">
        <v>1</v>
      </c>
      <c r="V11" s="81" t="s">
        <v>36</v>
      </c>
      <c r="W11" s="81">
        <v>0</v>
      </c>
      <c r="X11" s="81" t="s">
        <v>37</v>
      </c>
      <c r="Y11" s="81">
        <v>1</v>
      </c>
    </row>
    <row r="12" spans="1:64">
      <c r="A12" s="81" t="s">
        <v>38</v>
      </c>
      <c r="B12" s="81" t="s">
        <v>39</v>
      </c>
      <c r="C12" s="81">
        <v>1</v>
      </c>
      <c r="D12" s="81" t="s">
        <v>40</v>
      </c>
      <c r="E12" s="81">
        <v>1</v>
      </c>
      <c r="F12" s="81" t="s">
        <v>41</v>
      </c>
      <c r="G12" s="81">
        <v>0</v>
      </c>
      <c r="H12" s="81" t="s">
        <v>42</v>
      </c>
      <c r="I12" s="81">
        <v>1</v>
      </c>
      <c r="J12" s="81" t="s">
        <v>43</v>
      </c>
      <c r="K12" s="81">
        <v>0.7</v>
      </c>
      <c r="L12" s="81" t="s">
        <v>44</v>
      </c>
      <c r="M12" s="81">
        <v>2</v>
      </c>
      <c r="N12" s="81" t="s">
        <v>45</v>
      </c>
      <c r="O12" s="81">
        <v>1</v>
      </c>
      <c r="P12" s="81" t="s">
        <v>46</v>
      </c>
      <c r="Q12" s="81">
        <v>1</v>
      </c>
      <c r="R12" s="81" t="s">
        <v>47</v>
      </c>
      <c r="S12" s="81">
        <v>7</v>
      </c>
      <c r="T12" s="81" t="s">
        <v>48</v>
      </c>
      <c r="U12" s="81">
        <v>0</v>
      </c>
      <c r="V12" s="81" t="s">
        <v>49</v>
      </c>
      <c r="W12" s="81">
        <v>100</v>
      </c>
      <c r="X12" s="81" t="s">
        <v>50</v>
      </c>
      <c r="Y12" s="81">
        <v>0</v>
      </c>
      <c r="Z12" s="81" t="s">
        <v>51</v>
      </c>
      <c r="AA12" s="81">
        <v>1</v>
      </c>
      <c r="AB12" s="81" t="s">
        <v>52</v>
      </c>
      <c r="AC12" s="81">
        <v>1</v>
      </c>
      <c r="AD12" s="81" t="s">
        <v>53</v>
      </c>
      <c r="AE12" s="81">
        <v>1</v>
      </c>
    </row>
    <row r="13" spans="1:64">
      <c r="A13" s="80" t="s">
        <v>54</v>
      </c>
      <c r="B13" s="83" t="s">
        <v>55</v>
      </c>
      <c r="C13" s="80">
        <v>1</v>
      </c>
      <c r="D13" s="83" t="s">
        <v>56</v>
      </c>
      <c r="E13" s="80" t="s">
        <v>57</v>
      </c>
      <c r="F13" s="80" t="s">
        <v>58</v>
      </c>
      <c r="G13" s="87" t="s">
        <v>59</v>
      </c>
      <c r="H13" s="87" t="s">
        <v>60</v>
      </c>
      <c r="I13" s="81" t="s">
        <v>59</v>
      </c>
    </row>
    <row r="14" spans="1:64">
      <c r="A14" s="80" t="s">
        <v>61</v>
      </c>
      <c r="B14" s="86" t="s">
        <v>62</v>
      </c>
      <c r="C14" s="86" t="s">
        <v>63</v>
      </c>
      <c r="D14" s="86" t="s">
        <v>64</v>
      </c>
      <c r="E14" s="86" t="s">
        <v>65</v>
      </c>
      <c r="F14" s="86" t="s">
        <v>66</v>
      </c>
      <c r="G14" s="86" t="s">
        <v>67</v>
      </c>
      <c r="H14" s="86" t="s">
        <v>68</v>
      </c>
      <c r="I14" s="86" t="b">
        <v>0</v>
      </c>
      <c r="J14" s="86" t="s">
        <v>69</v>
      </c>
      <c r="K14" s="86" t="s">
        <v>70</v>
      </c>
      <c r="L14" s="86" t="s">
        <v>71</v>
      </c>
      <c r="M14" s="86" t="s">
        <v>72</v>
      </c>
      <c r="N14" s="86" t="s">
        <v>73</v>
      </c>
      <c r="O14" s="86" t="s">
        <v>67</v>
      </c>
      <c r="P14" s="86" t="s">
        <v>74</v>
      </c>
      <c r="Q14" s="86" t="b">
        <v>0</v>
      </c>
      <c r="R14" s="86" t="s">
        <v>75</v>
      </c>
      <c r="S14" s="86" t="s">
        <v>76</v>
      </c>
      <c r="T14" s="86" t="s">
        <v>77</v>
      </c>
      <c r="U14" s="86" t="s">
        <v>78</v>
      </c>
      <c r="V14" s="86" t="s">
        <v>79</v>
      </c>
      <c r="W14" s="86" t="s">
        <v>67</v>
      </c>
      <c r="X14" s="86" t="s">
        <v>80</v>
      </c>
      <c r="Y14" s="86" t="b">
        <v>1</v>
      </c>
      <c r="Z14" s="86" t="s">
        <v>81</v>
      </c>
      <c r="AA14" s="86" t="s">
        <v>82</v>
      </c>
      <c r="AB14" s="86" t="s">
        <v>83</v>
      </c>
      <c r="AC14" s="86" t="s">
        <v>84</v>
      </c>
      <c r="AD14" s="86" t="s">
        <v>85</v>
      </c>
      <c r="AE14" s="86" t="s">
        <v>86</v>
      </c>
      <c r="AF14" s="86" t="s">
        <v>87</v>
      </c>
      <c r="AG14" s="86" t="b">
        <v>1</v>
      </c>
      <c r="AH14" s="86" t="s">
        <v>88</v>
      </c>
      <c r="AI14" s="86" t="s">
        <v>89</v>
      </c>
      <c r="AJ14" s="86" t="s">
        <v>90</v>
      </c>
      <c r="AK14" s="86" t="s">
        <v>91</v>
      </c>
      <c r="AL14" s="86" t="s">
        <v>92</v>
      </c>
      <c r="AM14" s="86" t="s">
        <v>93</v>
      </c>
      <c r="AN14" s="86" t="s">
        <v>94</v>
      </c>
      <c r="AO14" s="86" t="b">
        <v>0</v>
      </c>
      <c r="AP14" s="86" t="s">
        <v>95</v>
      </c>
      <c r="AQ14" s="86" t="s">
        <v>96</v>
      </c>
      <c r="AR14" s="86" t="s">
        <v>97</v>
      </c>
      <c r="AS14" s="86" t="s">
        <v>98</v>
      </c>
      <c r="AT14" s="86" t="s">
        <v>99</v>
      </c>
      <c r="AU14" s="86" t="s">
        <v>100</v>
      </c>
      <c r="AV14" s="86" t="s">
        <v>101</v>
      </c>
      <c r="AW14" s="86" t="b">
        <v>1</v>
      </c>
      <c r="AX14" s="81" t="s">
        <v>102</v>
      </c>
      <c r="AZ14" s="81" t="s">
        <v>103</v>
      </c>
      <c r="BB14" s="81" t="s">
        <v>104</v>
      </c>
      <c r="BD14" s="81" t="s">
        <v>105</v>
      </c>
      <c r="BF14" s="81" t="s">
        <v>106</v>
      </c>
      <c r="BH14" s="81" t="s">
        <v>107</v>
      </c>
      <c r="BJ14" s="81" t="s">
        <v>108</v>
      </c>
      <c r="BL14" s="81" t="s">
        <v>109</v>
      </c>
    </row>
    <row r="15" spans="1:64">
      <c r="A15" s="80" t="s">
        <v>110</v>
      </c>
      <c r="B15" s="81" t="s">
        <v>111</v>
      </c>
      <c r="C15" s="81">
        <v>0</v>
      </c>
      <c r="D15" s="81" t="s">
        <v>112</v>
      </c>
      <c r="E15" s="81">
        <v>1</v>
      </c>
      <c r="F15" s="81" t="s">
        <v>113</v>
      </c>
      <c r="G15" s="81" t="s">
        <v>114</v>
      </c>
      <c r="H15" s="81" t="s">
        <v>115</v>
      </c>
      <c r="I15" s="81">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435"/>
  <sheetViews>
    <sheetView zoomScaleNormal="100" workbookViewId="0">
      <pane ySplit="1" topLeftCell="A103" activePane="bottomLeft" state="frozen"/>
      <selection pane="bottomLeft" activeCell="D116" sqref="D116"/>
    </sheetView>
  </sheetViews>
  <sheetFormatPr defaultColWidth="73.375" defaultRowHeight="12"/>
  <cols>
    <col min="1" max="1" width="7.625" style="94" bestFit="1" customWidth="1"/>
    <col min="2" max="2" width="8.375" style="106" bestFit="1" customWidth="1"/>
    <col min="3" max="3" width="15.75" style="103" customWidth="1"/>
    <col min="4" max="4" width="60.625" style="95" customWidth="1"/>
    <col min="5" max="5" width="60.625" style="107" customWidth="1"/>
    <col min="6" max="16384" width="73.375" style="94"/>
  </cols>
  <sheetData>
    <row r="1" spans="1:5" s="92" customFormat="1" ht="24.75" customHeight="1">
      <c r="A1" s="92" t="s">
        <v>116</v>
      </c>
      <c r="B1" s="92" t="s">
        <v>117</v>
      </c>
      <c r="C1" s="93" t="s">
        <v>118</v>
      </c>
      <c r="D1" s="93" t="s">
        <v>119</v>
      </c>
      <c r="E1" s="93" t="s">
        <v>120</v>
      </c>
    </row>
    <row r="2" spans="1:5" ht="60">
      <c r="A2" s="94" t="s">
        <v>121</v>
      </c>
      <c r="B2" s="106">
        <v>1</v>
      </c>
      <c r="D2" s="95" t="s">
        <v>122</v>
      </c>
      <c r="E2" s="107" t="s">
        <v>123</v>
      </c>
    </row>
    <row r="3" spans="1:5" ht="112.5" customHeight="1">
      <c r="A3" s="96">
        <v>450</v>
      </c>
      <c r="B3" s="106">
        <v>2</v>
      </c>
      <c r="D3" s="95" t="s">
        <v>124</v>
      </c>
      <c r="E3" s="107" t="s">
        <v>125</v>
      </c>
    </row>
    <row r="4" spans="1:5" ht="48">
      <c r="B4" s="106">
        <v>3</v>
      </c>
      <c r="D4" s="95" t="s">
        <v>126</v>
      </c>
      <c r="E4" s="107" t="s">
        <v>127</v>
      </c>
    </row>
    <row r="5" spans="1:5" ht="48">
      <c r="B5" s="106">
        <v>4</v>
      </c>
      <c r="D5" s="95" t="s">
        <v>128</v>
      </c>
      <c r="E5" s="107" t="s">
        <v>129</v>
      </c>
    </row>
    <row r="6" spans="1:5" ht="60">
      <c r="B6" s="106">
        <v>5</v>
      </c>
      <c r="D6" s="95" t="s">
        <v>130</v>
      </c>
      <c r="E6" s="107" t="s">
        <v>131</v>
      </c>
    </row>
    <row r="7" spans="1:5" ht="36">
      <c r="B7" s="106">
        <v>6</v>
      </c>
      <c r="D7" s="95" t="s">
        <v>132</v>
      </c>
      <c r="E7" s="107" t="s">
        <v>133</v>
      </c>
    </row>
    <row r="8" spans="1:5">
      <c r="B8" s="106">
        <v>7</v>
      </c>
      <c r="D8" s="95" t="s">
        <v>134</v>
      </c>
      <c r="E8" s="107" t="s">
        <v>135</v>
      </c>
    </row>
    <row r="9" spans="1:5">
      <c r="B9" s="106">
        <v>101</v>
      </c>
      <c r="D9" s="95" t="s">
        <v>136</v>
      </c>
      <c r="E9" s="107" t="s">
        <v>137</v>
      </c>
    </row>
    <row r="10" spans="1:5">
      <c r="B10" s="106">
        <v>102</v>
      </c>
      <c r="D10" s="95" t="s">
        <v>138</v>
      </c>
      <c r="E10" s="107" t="s">
        <v>139</v>
      </c>
    </row>
    <row r="11" spans="1:5">
      <c r="B11" s="106">
        <v>103</v>
      </c>
      <c r="D11" s="95" t="s">
        <v>140</v>
      </c>
      <c r="E11" s="107" t="s">
        <v>141</v>
      </c>
    </row>
    <row r="12" spans="1:5">
      <c r="B12" s="106">
        <v>104</v>
      </c>
      <c r="D12" s="95" t="s">
        <v>142</v>
      </c>
      <c r="E12" s="107" t="s">
        <v>143</v>
      </c>
    </row>
    <row r="13" spans="1:5">
      <c r="B13" s="106">
        <v>105</v>
      </c>
      <c r="D13" s="95" t="s">
        <v>144</v>
      </c>
      <c r="E13" s="107" t="s">
        <v>145</v>
      </c>
    </row>
    <row r="14" spans="1:5">
      <c r="B14" s="106">
        <v>106</v>
      </c>
      <c r="D14" s="95" t="s">
        <v>146</v>
      </c>
      <c r="E14" s="107" t="s">
        <v>147</v>
      </c>
    </row>
    <row r="15" spans="1:5" ht="36">
      <c r="B15" s="106">
        <v>107</v>
      </c>
      <c r="D15" s="95" t="s">
        <v>148</v>
      </c>
      <c r="E15" s="107" t="s">
        <v>149</v>
      </c>
    </row>
    <row r="16" spans="1:5" ht="36">
      <c r="B16" s="106">
        <v>108</v>
      </c>
      <c r="D16" s="95" t="s">
        <v>150</v>
      </c>
      <c r="E16" s="107" t="s">
        <v>151</v>
      </c>
    </row>
    <row r="17" spans="1:6">
      <c r="B17" s="106">
        <v>109</v>
      </c>
      <c r="D17" s="95" t="s">
        <v>152</v>
      </c>
      <c r="E17" s="107" t="s">
        <v>153</v>
      </c>
    </row>
    <row r="18" spans="1:6">
      <c r="B18" s="106">
        <v>110</v>
      </c>
      <c r="D18" s="95" t="s">
        <v>154</v>
      </c>
      <c r="E18" s="107" t="s">
        <v>155</v>
      </c>
    </row>
    <row r="19" spans="1:6">
      <c r="B19" s="106">
        <v>111</v>
      </c>
      <c r="D19" s="95" t="s">
        <v>156</v>
      </c>
      <c r="E19" s="107" t="s">
        <v>157</v>
      </c>
    </row>
    <row r="20" spans="1:6">
      <c r="A20" s="97"/>
      <c r="B20" s="106">
        <v>112</v>
      </c>
      <c r="C20" s="105" t="s">
        <v>158</v>
      </c>
      <c r="D20" s="96" t="s">
        <v>159</v>
      </c>
      <c r="E20" s="96" t="s">
        <v>160</v>
      </c>
      <c r="F20" s="98"/>
    </row>
    <row r="21" spans="1:6">
      <c r="B21" s="106">
        <v>113</v>
      </c>
      <c r="D21" s="95" t="s">
        <v>161</v>
      </c>
      <c r="E21" s="107" t="s">
        <v>162</v>
      </c>
    </row>
    <row r="22" spans="1:6">
      <c r="B22" s="106">
        <v>114</v>
      </c>
      <c r="D22" s="95" t="s">
        <v>163</v>
      </c>
      <c r="E22" s="107" t="s">
        <v>164</v>
      </c>
    </row>
    <row r="23" spans="1:6">
      <c r="B23" s="106">
        <v>115</v>
      </c>
      <c r="D23" s="95" t="s">
        <v>165</v>
      </c>
      <c r="E23" s="107" t="s">
        <v>166</v>
      </c>
    </row>
    <row r="24" spans="1:6" ht="24">
      <c r="B24" s="106">
        <v>116</v>
      </c>
      <c r="D24" s="95" t="s">
        <v>167</v>
      </c>
      <c r="E24" s="107" t="s">
        <v>168</v>
      </c>
    </row>
    <row r="25" spans="1:6">
      <c r="B25" s="106">
        <v>117</v>
      </c>
      <c r="D25" s="95" t="s">
        <v>169</v>
      </c>
      <c r="E25" s="107" t="s">
        <v>170</v>
      </c>
    </row>
    <row r="26" spans="1:6" ht="24">
      <c r="B26" s="106">
        <v>118</v>
      </c>
      <c r="D26" s="95" t="s">
        <v>171</v>
      </c>
      <c r="E26" s="107" t="s">
        <v>172</v>
      </c>
    </row>
    <row r="27" spans="1:6">
      <c r="B27" s="106">
        <v>119</v>
      </c>
      <c r="D27" s="95" t="s">
        <v>173</v>
      </c>
      <c r="E27" s="107" t="s">
        <v>174</v>
      </c>
    </row>
    <row r="28" spans="1:6">
      <c r="B28" s="106">
        <v>120</v>
      </c>
      <c r="D28" s="95" t="s">
        <v>175</v>
      </c>
      <c r="E28" s="107" t="s">
        <v>176</v>
      </c>
    </row>
    <row r="29" spans="1:6">
      <c r="B29" s="106">
        <v>121</v>
      </c>
      <c r="D29" s="95" t="s">
        <v>177</v>
      </c>
      <c r="E29" s="107" t="s">
        <v>178</v>
      </c>
    </row>
    <row r="30" spans="1:6">
      <c r="B30" s="106">
        <v>122</v>
      </c>
      <c r="D30" s="95" t="s">
        <v>179</v>
      </c>
      <c r="E30" s="107" t="s">
        <v>180</v>
      </c>
    </row>
    <row r="31" spans="1:6">
      <c r="B31" s="106">
        <v>123</v>
      </c>
      <c r="D31" s="95" t="s">
        <v>181</v>
      </c>
      <c r="E31" s="107" t="s">
        <v>182</v>
      </c>
    </row>
    <row r="32" spans="1:6">
      <c r="B32" s="106">
        <v>124</v>
      </c>
      <c r="D32" s="95" t="s">
        <v>183</v>
      </c>
      <c r="E32" s="107" t="s">
        <v>184</v>
      </c>
    </row>
    <row r="33" spans="2:5" ht="24">
      <c r="B33" s="106">
        <v>125</v>
      </c>
      <c r="D33" s="95" t="s">
        <v>185</v>
      </c>
      <c r="E33" s="107" t="s">
        <v>186</v>
      </c>
    </row>
    <row r="34" spans="2:5">
      <c r="B34" s="106">
        <v>126</v>
      </c>
      <c r="D34" s="95" t="s">
        <v>187</v>
      </c>
      <c r="E34" s="107" t="s">
        <v>188</v>
      </c>
    </row>
    <row r="35" spans="2:5">
      <c r="B35" s="106">
        <v>127</v>
      </c>
      <c r="D35" s="95" t="s">
        <v>189</v>
      </c>
      <c r="E35" s="107" t="s">
        <v>190</v>
      </c>
    </row>
    <row r="36" spans="2:5">
      <c r="B36" s="106">
        <v>128</v>
      </c>
      <c r="D36" s="95" t="s">
        <v>191</v>
      </c>
      <c r="E36" s="107" t="s">
        <v>192</v>
      </c>
    </row>
    <row r="37" spans="2:5">
      <c r="B37" s="106">
        <v>129</v>
      </c>
      <c r="D37" s="95" t="s">
        <v>193</v>
      </c>
      <c r="E37" s="107" t="s">
        <v>194</v>
      </c>
    </row>
    <row r="38" spans="2:5">
      <c r="B38" s="106">
        <v>130</v>
      </c>
      <c r="D38" s="95" t="s">
        <v>195</v>
      </c>
      <c r="E38" s="107" t="s">
        <v>196</v>
      </c>
    </row>
    <row r="39" spans="2:5">
      <c r="B39" s="106">
        <v>131</v>
      </c>
      <c r="D39" s="95" t="s">
        <v>197</v>
      </c>
      <c r="E39" s="107" t="s">
        <v>198</v>
      </c>
    </row>
    <row r="40" spans="2:5">
      <c r="B40" s="106">
        <v>132</v>
      </c>
      <c r="D40" s="96" t="s">
        <v>199</v>
      </c>
      <c r="E40" s="100">
        <v>43435</v>
      </c>
    </row>
    <row r="41" spans="2:5">
      <c r="B41" s="106">
        <v>133</v>
      </c>
      <c r="D41" s="96" t="s">
        <v>199</v>
      </c>
      <c r="E41" s="100">
        <v>43435</v>
      </c>
    </row>
    <row r="42" spans="2:5">
      <c r="B42" s="106">
        <v>134</v>
      </c>
      <c r="D42" s="96" t="s">
        <v>200</v>
      </c>
      <c r="E42" s="100">
        <v>43465</v>
      </c>
    </row>
    <row r="43" spans="2:5">
      <c r="B43" s="106">
        <v>135</v>
      </c>
      <c r="D43" s="96" t="s">
        <v>200</v>
      </c>
      <c r="E43" s="100">
        <v>43465</v>
      </c>
    </row>
    <row r="44" spans="2:5">
      <c r="B44" s="106">
        <v>136</v>
      </c>
      <c r="D44" s="95" t="s">
        <v>201</v>
      </c>
      <c r="E44" s="107" t="s">
        <v>201</v>
      </c>
    </row>
    <row r="45" spans="2:5">
      <c r="B45" s="106">
        <v>137</v>
      </c>
      <c r="D45" s="95" t="s">
        <v>202</v>
      </c>
      <c r="E45" s="107" t="s">
        <v>203</v>
      </c>
    </row>
    <row r="46" spans="2:5">
      <c r="B46" s="106">
        <v>138</v>
      </c>
      <c r="C46" s="103" t="s">
        <v>204</v>
      </c>
      <c r="D46" s="95" t="s">
        <v>205</v>
      </c>
      <c r="E46" s="109" t="s">
        <v>206</v>
      </c>
    </row>
    <row r="47" spans="2:5">
      <c r="B47" s="106">
        <v>139</v>
      </c>
      <c r="D47" s="95" t="s">
        <v>207</v>
      </c>
      <c r="E47" s="107" t="s">
        <v>208</v>
      </c>
    </row>
    <row r="48" spans="2:5">
      <c r="B48" s="106">
        <v>140</v>
      </c>
      <c r="D48" s="95" t="s">
        <v>209</v>
      </c>
      <c r="E48" s="107" t="s">
        <v>210</v>
      </c>
    </row>
    <row r="49" spans="1:6">
      <c r="B49" s="106">
        <v>141</v>
      </c>
      <c r="D49" s="95" t="s">
        <v>211</v>
      </c>
      <c r="E49" s="107" t="s">
        <v>212</v>
      </c>
    </row>
    <row r="50" spans="1:6">
      <c r="B50" s="106">
        <v>142</v>
      </c>
      <c r="D50" s="95" t="s">
        <v>213</v>
      </c>
      <c r="E50" s="107" t="s">
        <v>214</v>
      </c>
    </row>
    <row r="51" spans="1:6">
      <c r="B51" s="106">
        <v>143</v>
      </c>
      <c r="D51" s="95" t="s">
        <v>215</v>
      </c>
      <c r="E51" s="107" t="s">
        <v>216</v>
      </c>
    </row>
    <row r="52" spans="1:6">
      <c r="B52" s="106">
        <v>144</v>
      </c>
      <c r="D52" s="95" t="s">
        <v>217</v>
      </c>
      <c r="E52" s="107" t="s">
        <v>218</v>
      </c>
    </row>
    <row r="53" spans="1:6" ht="24">
      <c r="B53" s="106">
        <v>145</v>
      </c>
      <c r="D53" s="95" t="s">
        <v>219</v>
      </c>
      <c r="E53" s="107" t="s">
        <v>220</v>
      </c>
    </row>
    <row r="54" spans="1:6">
      <c r="B54" s="106">
        <v>146</v>
      </c>
      <c r="D54" s="95" t="s">
        <v>221</v>
      </c>
      <c r="E54" s="107" t="s">
        <v>222</v>
      </c>
    </row>
    <row r="55" spans="1:6">
      <c r="B55" s="106">
        <v>147</v>
      </c>
      <c r="D55" s="95" t="s">
        <v>223</v>
      </c>
      <c r="E55" s="107" t="s">
        <v>224</v>
      </c>
    </row>
    <row r="56" spans="1:6">
      <c r="B56" s="106">
        <v>148</v>
      </c>
      <c r="D56" s="95" t="s">
        <v>225</v>
      </c>
      <c r="E56" s="107" t="s">
        <v>226</v>
      </c>
    </row>
    <row r="57" spans="1:6">
      <c r="B57" s="106">
        <v>149</v>
      </c>
      <c r="D57" s="95" t="s">
        <v>227</v>
      </c>
      <c r="E57" s="107" t="s">
        <v>228</v>
      </c>
    </row>
    <row r="58" spans="1:6">
      <c r="B58" s="106">
        <v>150</v>
      </c>
      <c r="D58" s="95" t="s">
        <v>229</v>
      </c>
      <c r="E58" s="107" t="s">
        <v>230</v>
      </c>
    </row>
    <row r="59" spans="1:6" ht="24">
      <c r="B59" s="106">
        <v>151</v>
      </c>
      <c r="D59" s="95" t="s">
        <v>231</v>
      </c>
      <c r="E59" s="107" t="s">
        <v>232</v>
      </c>
    </row>
    <row r="60" spans="1:6">
      <c r="B60" s="106">
        <v>152</v>
      </c>
      <c r="D60" s="95" t="s">
        <v>233</v>
      </c>
      <c r="E60" s="107" t="s">
        <v>234</v>
      </c>
    </row>
    <row r="61" spans="1:6">
      <c r="A61" s="99"/>
      <c r="B61" s="106">
        <v>153</v>
      </c>
      <c r="C61" s="105" t="s">
        <v>158</v>
      </c>
      <c r="D61" s="96" t="s">
        <v>235</v>
      </c>
      <c r="E61" s="96" t="s">
        <v>236</v>
      </c>
      <c r="F61" s="98"/>
    </row>
    <row r="62" spans="1:6" ht="12.75">
      <c r="B62" s="106">
        <v>154</v>
      </c>
      <c r="D62" s="95" t="s">
        <v>237</v>
      </c>
      <c r="E62" s="111" t="s">
        <v>238</v>
      </c>
    </row>
    <row r="63" spans="1:6" ht="12.75">
      <c r="B63" s="106">
        <v>155</v>
      </c>
      <c r="D63" s="95" t="s">
        <v>239</v>
      </c>
      <c r="E63" s="111" t="s">
        <v>240</v>
      </c>
    </row>
    <row r="64" spans="1:6">
      <c r="A64" s="99"/>
      <c r="B64" s="106">
        <v>156</v>
      </c>
      <c r="C64" s="105" t="s">
        <v>158</v>
      </c>
      <c r="D64" s="96" t="s">
        <v>241</v>
      </c>
      <c r="E64" s="96" t="s">
        <v>242</v>
      </c>
      <c r="F64" s="98"/>
    </row>
    <row r="65" spans="1:6">
      <c r="A65" s="99"/>
      <c r="B65" s="106">
        <v>157</v>
      </c>
      <c r="C65" s="105" t="s">
        <v>158</v>
      </c>
      <c r="D65" s="96" t="s">
        <v>243</v>
      </c>
      <c r="E65" s="96" t="s">
        <v>244</v>
      </c>
      <c r="F65" s="98"/>
    </row>
    <row r="66" spans="1:6">
      <c r="A66" s="99"/>
      <c r="B66" s="106">
        <v>158</v>
      </c>
      <c r="C66" s="105" t="s">
        <v>158</v>
      </c>
      <c r="D66" s="96" t="s">
        <v>245</v>
      </c>
      <c r="E66" s="96" t="s">
        <v>246</v>
      </c>
      <c r="F66" s="98"/>
    </row>
    <row r="67" spans="1:6">
      <c r="A67" s="99"/>
      <c r="B67" s="106">
        <v>159</v>
      </c>
      <c r="C67" s="105" t="s">
        <v>158</v>
      </c>
      <c r="D67" s="96" t="s">
        <v>247</v>
      </c>
      <c r="E67" s="96" t="s">
        <v>248</v>
      </c>
      <c r="F67" s="98"/>
    </row>
    <row r="68" spans="1:6">
      <c r="B68" s="106">
        <v>160</v>
      </c>
      <c r="D68" s="95" t="s">
        <v>249</v>
      </c>
      <c r="E68" s="107" t="s">
        <v>250</v>
      </c>
    </row>
    <row r="69" spans="1:6">
      <c r="B69" s="106">
        <v>161</v>
      </c>
      <c r="D69" s="95" t="s">
        <v>251</v>
      </c>
      <c r="E69" s="107" t="s">
        <v>252</v>
      </c>
    </row>
    <row r="70" spans="1:6">
      <c r="B70" s="106">
        <v>162</v>
      </c>
      <c r="D70" s="95" t="s">
        <v>253</v>
      </c>
      <c r="E70" s="107" t="s">
        <v>254</v>
      </c>
    </row>
    <row r="71" spans="1:6">
      <c r="B71" s="106">
        <v>163</v>
      </c>
      <c r="D71" s="95" t="s">
        <v>255</v>
      </c>
      <c r="E71" s="107" t="s">
        <v>256</v>
      </c>
    </row>
    <row r="72" spans="1:6">
      <c r="B72" s="106">
        <v>164</v>
      </c>
      <c r="D72" s="95" t="s">
        <v>257</v>
      </c>
      <c r="E72" s="107" t="s">
        <v>258</v>
      </c>
    </row>
    <row r="73" spans="1:6">
      <c r="B73" s="106">
        <v>165</v>
      </c>
      <c r="D73" s="95" t="s">
        <v>259</v>
      </c>
      <c r="E73" s="107" t="s">
        <v>260</v>
      </c>
    </row>
    <row r="74" spans="1:6">
      <c r="B74" s="106">
        <v>166</v>
      </c>
      <c r="D74" s="95" t="s">
        <v>261</v>
      </c>
      <c r="E74" s="107" t="s">
        <v>262</v>
      </c>
    </row>
    <row r="75" spans="1:6" ht="24">
      <c r="B75" s="106">
        <v>167</v>
      </c>
      <c r="D75" s="95" t="s">
        <v>263</v>
      </c>
      <c r="E75" s="107" t="s">
        <v>264</v>
      </c>
    </row>
    <row r="76" spans="1:6">
      <c r="B76" s="106">
        <v>168</v>
      </c>
      <c r="D76" s="95" t="s">
        <v>265</v>
      </c>
      <c r="E76" s="107" t="s">
        <v>266</v>
      </c>
    </row>
    <row r="77" spans="1:6">
      <c r="B77" s="106">
        <v>169</v>
      </c>
      <c r="D77" s="95" t="s">
        <v>267</v>
      </c>
      <c r="E77" s="107" t="s">
        <v>268</v>
      </c>
    </row>
    <row r="78" spans="1:6">
      <c r="B78" s="106">
        <v>170</v>
      </c>
      <c r="D78" s="95" t="s">
        <v>269</v>
      </c>
      <c r="E78" s="107" t="s">
        <v>270</v>
      </c>
    </row>
    <row r="79" spans="1:6">
      <c r="B79" s="106">
        <v>171</v>
      </c>
      <c r="D79" s="95" t="s">
        <v>271</v>
      </c>
      <c r="E79" s="107" t="s">
        <v>272</v>
      </c>
    </row>
    <row r="80" spans="1:6">
      <c r="B80" s="106">
        <v>172</v>
      </c>
      <c r="D80" s="95" t="s">
        <v>273</v>
      </c>
      <c r="E80" s="107" t="s">
        <v>274</v>
      </c>
    </row>
    <row r="81" spans="2:5">
      <c r="B81" s="106">
        <v>173</v>
      </c>
      <c r="D81" s="95" t="s">
        <v>275</v>
      </c>
      <c r="E81" s="107" t="s">
        <v>276</v>
      </c>
    </row>
    <row r="82" spans="2:5">
      <c r="B82" s="106">
        <v>174</v>
      </c>
      <c r="D82" s="95" t="s">
        <v>277</v>
      </c>
      <c r="E82" s="107" t="s">
        <v>278</v>
      </c>
    </row>
    <row r="83" spans="2:5">
      <c r="B83" s="106">
        <v>175</v>
      </c>
      <c r="D83" s="95" t="s">
        <v>279</v>
      </c>
      <c r="E83" s="107" t="s">
        <v>280</v>
      </c>
    </row>
    <row r="84" spans="2:5">
      <c r="B84" s="106">
        <v>176</v>
      </c>
      <c r="D84" s="95" t="s">
        <v>281</v>
      </c>
      <c r="E84" s="107" t="s">
        <v>282</v>
      </c>
    </row>
    <row r="85" spans="2:5">
      <c r="B85" s="106">
        <v>177</v>
      </c>
      <c r="D85" s="95" t="s">
        <v>283</v>
      </c>
      <c r="E85" s="107" t="s">
        <v>284</v>
      </c>
    </row>
    <row r="86" spans="2:5">
      <c r="B86" s="106">
        <v>178</v>
      </c>
      <c r="D86" s="95" t="s">
        <v>285</v>
      </c>
      <c r="E86" s="107" t="s">
        <v>286</v>
      </c>
    </row>
    <row r="87" spans="2:5">
      <c r="B87" s="106">
        <v>179</v>
      </c>
      <c r="D87" s="95" t="s">
        <v>287</v>
      </c>
      <c r="E87" s="107" t="s">
        <v>288</v>
      </c>
    </row>
    <row r="88" spans="2:5">
      <c r="B88" s="106">
        <v>180</v>
      </c>
      <c r="D88" s="95" t="s">
        <v>289</v>
      </c>
      <c r="E88" s="107" t="s">
        <v>290</v>
      </c>
    </row>
    <row r="89" spans="2:5" ht="24">
      <c r="B89" s="106">
        <v>181</v>
      </c>
      <c r="D89" s="95" t="s">
        <v>291</v>
      </c>
      <c r="E89" s="107" t="s">
        <v>292</v>
      </c>
    </row>
    <row r="90" spans="2:5" ht="24">
      <c r="B90" s="106">
        <v>182</v>
      </c>
      <c r="D90" s="95" t="s">
        <v>293</v>
      </c>
      <c r="E90" s="107" t="s">
        <v>294</v>
      </c>
    </row>
    <row r="91" spans="2:5">
      <c r="B91" s="106">
        <v>183</v>
      </c>
      <c r="D91" s="95" t="s">
        <v>295</v>
      </c>
      <c r="E91" s="107" t="s">
        <v>296</v>
      </c>
    </row>
    <row r="92" spans="2:5">
      <c r="B92" s="106">
        <v>184</v>
      </c>
      <c r="D92" s="95" t="s">
        <v>297</v>
      </c>
      <c r="E92" s="107" t="s">
        <v>298</v>
      </c>
    </row>
    <row r="93" spans="2:5">
      <c r="B93" s="106">
        <v>185</v>
      </c>
      <c r="D93" s="95" t="s">
        <v>299</v>
      </c>
      <c r="E93" s="107" t="s">
        <v>300</v>
      </c>
    </row>
    <row r="94" spans="2:5">
      <c r="B94" s="106">
        <v>186</v>
      </c>
      <c r="D94" s="95" t="s">
        <v>301</v>
      </c>
      <c r="E94" s="107" t="s">
        <v>302</v>
      </c>
    </row>
    <row r="95" spans="2:5">
      <c r="B95" s="106">
        <v>187</v>
      </c>
      <c r="D95" s="95" t="s">
        <v>303</v>
      </c>
      <c r="E95" s="107" t="s">
        <v>304</v>
      </c>
    </row>
    <row r="96" spans="2:5" ht="24">
      <c r="B96" s="106">
        <v>188</v>
      </c>
      <c r="D96" s="95" t="s">
        <v>305</v>
      </c>
      <c r="E96" s="107" t="s">
        <v>306</v>
      </c>
    </row>
    <row r="97" spans="2:5" ht="24">
      <c r="B97" s="106">
        <v>189</v>
      </c>
      <c r="D97" s="95" t="s">
        <v>307</v>
      </c>
      <c r="E97" s="107" t="s">
        <v>308</v>
      </c>
    </row>
    <row r="98" spans="2:5">
      <c r="B98" s="106">
        <v>190</v>
      </c>
      <c r="D98" s="95" t="s">
        <v>309</v>
      </c>
      <c r="E98" s="107" t="s">
        <v>309</v>
      </c>
    </row>
    <row r="99" spans="2:5">
      <c r="B99" s="106">
        <v>191</v>
      </c>
      <c r="D99" s="95" t="s">
        <v>310</v>
      </c>
      <c r="E99" s="107" t="s">
        <v>311</v>
      </c>
    </row>
    <row r="100" spans="2:5">
      <c r="B100" s="106">
        <v>192</v>
      </c>
      <c r="D100" s="95" t="s">
        <v>312</v>
      </c>
      <c r="E100" s="107" t="s">
        <v>313</v>
      </c>
    </row>
    <row r="101" spans="2:5">
      <c r="B101" s="106">
        <v>193</v>
      </c>
      <c r="D101" s="95" t="s">
        <v>314</v>
      </c>
      <c r="E101" s="107" t="s">
        <v>315</v>
      </c>
    </row>
    <row r="102" spans="2:5">
      <c r="B102" s="106">
        <v>194</v>
      </c>
      <c r="D102" s="95" t="s">
        <v>316</v>
      </c>
      <c r="E102" s="107" t="s">
        <v>317</v>
      </c>
    </row>
    <row r="103" spans="2:5">
      <c r="B103" s="106">
        <v>195</v>
      </c>
      <c r="D103" s="95" t="s">
        <v>318</v>
      </c>
      <c r="E103" s="107" t="s">
        <v>319</v>
      </c>
    </row>
    <row r="104" spans="2:5">
      <c r="B104" s="106">
        <v>196</v>
      </c>
      <c r="D104" s="95" t="s">
        <v>320</v>
      </c>
      <c r="E104" s="107" t="s">
        <v>321</v>
      </c>
    </row>
    <row r="105" spans="2:5">
      <c r="B105" s="106">
        <v>197</v>
      </c>
      <c r="D105" s="95" t="s">
        <v>322</v>
      </c>
      <c r="E105" s="107" t="s">
        <v>323</v>
      </c>
    </row>
    <row r="106" spans="2:5">
      <c r="B106" s="106">
        <v>198</v>
      </c>
      <c r="D106" s="95" t="s">
        <v>324</v>
      </c>
      <c r="E106" s="107" t="s">
        <v>325</v>
      </c>
    </row>
    <row r="107" spans="2:5">
      <c r="B107" s="106">
        <v>199</v>
      </c>
      <c r="D107" s="95" t="s">
        <v>326</v>
      </c>
      <c r="E107" s="107" t="s">
        <v>327</v>
      </c>
    </row>
    <row r="108" spans="2:5">
      <c r="B108" s="106">
        <v>200</v>
      </c>
      <c r="D108" s="95" t="s">
        <v>328</v>
      </c>
      <c r="E108" s="107" t="s">
        <v>329</v>
      </c>
    </row>
    <row r="109" spans="2:5">
      <c r="B109" s="106">
        <v>201</v>
      </c>
      <c r="D109" s="95" t="s">
        <v>330</v>
      </c>
      <c r="E109" s="107" t="s">
        <v>331</v>
      </c>
    </row>
    <row r="110" spans="2:5">
      <c r="B110" s="106">
        <v>202</v>
      </c>
      <c r="D110" s="95" t="s">
        <v>332</v>
      </c>
      <c r="E110" s="107" t="s">
        <v>333</v>
      </c>
    </row>
    <row r="111" spans="2:5">
      <c r="B111" s="106">
        <v>203</v>
      </c>
      <c r="D111" s="95" t="s">
        <v>334</v>
      </c>
      <c r="E111" s="107" t="s">
        <v>335</v>
      </c>
    </row>
    <row r="112" spans="2:5">
      <c r="B112" s="106">
        <v>204</v>
      </c>
      <c r="D112" s="95" t="s">
        <v>336</v>
      </c>
      <c r="E112" s="107" t="s">
        <v>337</v>
      </c>
    </row>
    <row r="113" spans="2:5">
      <c r="B113" s="106">
        <v>205</v>
      </c>
      <c r="D113" s="95" t="s">
        <v>338</v>
      </c>
      <c r="E113" s="107" t="s">
        <v>339</v>
      </c>
    </row>
    <row r="114" spans="2:5">
      <c r="B114" s="106">
        <v>206</v>
      </c>
      <c r="D114" s="95" t="s">
        <v>340</v>
      </c>
      <c r="E114" s="107" t="s">
        <v>341</v>
      </c>
    </row>
    <row r="115" spans="2:5">
      <c r="B115" s="106">
        <v>207</v>
      </c>
      <c r="D115" s="95" t="s">
        <v>342</v>
      </c>
      <c r="E115" s="107" t="s">
        <v>343</v>
      </c>
    </row>
    <row r="116" spans="2:5">
      <c r="B116" s="106">
        <v>208</v>
      </c>
      <c r="D116" s="95" t="s">
        <v>344</v>
      </c>
      <c r="E116" s="107" t="s">
        <v>345</v>
      </c>
    </row>
    <row r="117" spans="2:5">
      <c r="B117" s="106">
        <v>209</v>
      </c>
      <c r="D117" s="95" t="s">
        <v>346</v>
      </c>
      <c r="E117" s="107" t="s">
        <v>347</v>
      </c>
    </row>
    <row r="118" spans="2:5">
      <c r="B118" s="106">
        <v>210</v>
      </c>
      <c r="D118" s="95" t="s">
        <v>348</v>
      </c>
      <c r="E118" s="107" t="s">
        <v>349</v>
      </c>
    </row>
    <row r="119" spans="2:5">
      <c r="B119" s="106">
        <v>211</v>
      </c>
      <c r="D119" s="95" t="s">
        <v>350</v>
      </c>
      <c r="E119" s="107" t="s">
        <v>351</v>
      </c>
    </row>
    <row r="120" spans="2:5">
      <c r="B120" s="106">
        <v>212</v>
      </c>
      <c r="D120" s="95" t="s">
        <v>352</v>
      </c>
      <c r="E120" s="107" t="s">
        <v>353</v>
      </c>
    </row>
    <row r="121" spans="2:5">
      <c r="B121" s="106">
        <v>213</v>
      </c>
      <c r="D121" s="95" t="s">
        <v>354</v>
      </c>
      <c r="E121" s="107" t="s">
        <v>355</v>
      </c>
    </row>
    <row r="122" spans="2:5">
      <c r="B122" s="106">
        <v>214</v>
      </c>
      <c r="D122" s="95" t="s">
        <v>356</v>
      </c>
      <c r="E122" s="107" t="s">
        <v>357</v>
      </c>
    </row>
    <row r="123" spans="2:5">
      <c r="B123" s="106">
        <v>215</v>
      </c>
      <c r="D123" s="95" t="s">
        <v>358</v>
      </c>
      <c r="E123" s="107" t="s">
        <v>359</v>
      </c>
    </row>
    <row r="124" spans="2:5">
      <c r="B124" s="106">
        <v>216</v>
      </c>
      <c r="D124" s="95" t="s">
        <v>360</v>
      </c>
      <c r="E124" s="107" t="s">
        <v>361</v>
      </c>
    </row>
    <row r="125" spans="2:5">
      <c r="B125" s="106">
        <v>217</v>
      </c>
      <c r="D125" s="95" t="s">
        <v>362</v>
      </c>
      <c r="E125" s="107" t="s">
        <v>363</v>
      </c>
    </row>
    <row r="126" spans="2:5">
      <c r="B126" s="106">
        <v>218</v>
      </c>
      <c r="D126" s="95" t="s">
        <v>364</v>
      </c>
      <c r="E126" s="107" t="s">
        <v>365</v>
      </c>
    </row>
    <row r="127" spans="2:5">
      <c r="B127" s="106">
        <v>219</v>
      </c>
      <c r="D127" s="95" t="s">
        <v>366</v>
      </c>
      <c r="E127" s="107" t="s">
        <v>367</v>
      </c>
    </row>
    <row r="128" spans="2:5">
      <c r="B128" s="106">
        <v>220</v>
      </c>
      <c r="D128" s="95" t="s">
        <v>368</v>
      </c>
      <c r="E128" s="107" t="s">
        <v>369</v>
      </c>
    </row>
    <row r="129" spans="2:5">
      <c r="B129" s="106">
        <v>221</v>
      </c>
      <c r="D129" s="95" t="s">
        <v>370</v>
      </c>
      <c r="E129" s="107" t="s">
        <v>371</v>
      </c>
    </row>
    <row r="130" spans="2:5">
      <c r="B130" s="106">
        <v>222</v>
      </c>
      <c r="D130" s="95" t="s">
        <v>372</v>
      </c>
      <c r="E130" s="107" t="s">
        <v>373</v>
      </c>
    </row>
    <row r="131" spans="2:5">
      <c r="B131" s="106">
        <v>223</v>
      </c>
      <c r="D131" s="95" t="s">
        <v>374</v>
      </c>
      <c r="E131" s="107" t="s">
        <v>375</v>
      </c>
    </row>
    <row r="132" spans="2:5">
      <c r="B132" s="106">
        <v>224</v>
      </c>
      <c r="D132" s="95" t="s">
        <v>376</v>
      </c>
      <c r="E132" s="107" t="s">
        <v>377</v>
      </c>
    </row>
    <row r="133" spans="2:5">
      <c r="B133" s="106">
        <v>225</v>
      </c>
      <c r="D133" s="95" t="s">
        <v>378</v>
      </c>
      <c r="E133" s="107" t="s">
        <v>379</v>
      </c>
    </row>
    <row r="134" spans="2:5">
      <c r="B134" s="106">
        <v>226</v>
      </c>
      <c r="D134" s="95" t="s">
        <v>380</v>
      </c>
      <c r="E134" s="107" t="s">
        <v>381</v>
      </c>
    </row>
    <row r="135" spans="2:5">
      <c r="B135" s="106">
        <v>227</v>
      </c>
      <c r="D135" s="95" t="s">
        <v>382</v>
      </c>
      <c r="E135" s="107" t="s">
        <v>383</v>
      </c>
    </row>
    <row r="136" spans="2:5">
      <c r="B136" s="106">
        <v>228</v>
      </c>
      <c r="D136" s="95" t="s">
        <v>384</v>
      </c>
      <c r="E136" s="107" t="s">
        <v>385</v>
      </c>
    </row>
    <row r="137" spans="2:5">
      <c r="B137" s="106">
        <v>229</v>
      </c>
      <c r="D137" s="95" t="s">
        <v>386</v>
      </c>
      <c r="E137" s="107" t="s">
        <v>387</v>
      </c>
    </row>
    <row r="138" spans="2:5">
      <c r="B138" s="106">
        <v>230</v>
      </c>
      <c r="D138" s="95" t="s">
        <v>388</v>
      </c>
      <c r="E138" s="107" t="s">
        <v>389</v>
      </c>
    </row>
    <row r="139" spans="2:5">
      <c r="B139" s="106">
        <v>231</v>
      </c>
      <c r="D139" s="95" t="s">
        <v>390</v>
      </c>
      <c r="E139" s="107" t="s">
        <v>391</v>
      </c>
    </row>
    <row r="140" spans="2:5" ht="36">
      <c r="B140" s="106">
        <v>232</v>
      </c>
      <c r="D140" s="95" t="s">
        <v>392</v>
      </c>
      <c r="E140" s="107" t="s">
        <v>393</v>
      </c>
    </row>
    <row r="141" spans="2:5">
      <c r="B141" s="106">
        <v>233</v>
      </c>
      <c r="D141" s="95" t="s">
        <v>394</v>
      </c>
      <c r="E141" s="107" t="s">
        <v>395</v>
      </c>
    </row>
    <row r="142" spans="2:5">
      <c r="B142" s="106">
        <v>234</v>
      </c>
      <c r="D142" s="95" t="s">
        <v>396</v>
      </c>
      <c r="E142" s="107" t="s">
        <v>397</v>
      </c>
    </row>
    <row r="143" spans="2:5">
      <c r="B143" s="106">
        <v>235</v>
      </c>
      <c r="D143" s="95" t="s">
        <v>398</v>
      </c>
      <c r="E143" s="107" t="s">
        <v>399</v>
      </c>
    </row>
    <row r="144" spans="2:5">
      <c r="B144" s="106">
        <v>236</v>
      </c>
      <c r="D144" s="95" t="s">
        <v>400</v>
      </c>
      <c r="E144" s="107" t="s">
        <v>401</v>
      </c>
    </row>
    <row r="145" spans="2:5">
      <c r="B145" s="106">
        <v>237</v>
      </c>
      <c r="D145" s="95" t="s">
        <v>402</v>
      </c>
      <c r="E145" s="107" t="s">
        <v>403</v>
      </c>
    </row>
    <row r="146" spans="2:5">
      <c r="B146" s="106">
        <v>238</v>
      </c>
      <c r="D146" s="95" t="s">
        <v>404</v>
      </c>
      <c r="E146" s="107" t="s">
        <v>405</v>
      </c>
    </row>
    <row r="147" spans="2:5">
      <c r="B147" s="106">
        <v>239</v>
      </c>
      <c r="D147" s="95" t="s">
        <v>406</v>
      </c>
      <c r="E147" s="107" t="s">
        <v>407</v>
      </c>
    </row>
    <row r="148" spans="2:5">
      <c r="B148" s="106">
        <v>240</v>
      </c>
      <c r="D148" s="95" t="s">
        <v>408</v>
      </c>
      <c r="E148" s="107" t="s">
        <v>409</v>
      </c>
    </row>
    <row r="149" spans="2:5">
      <c r="B149" s="106">
        <v>241</v>
      </c>
      <c r="D149" s="95" t="s">
        <v>410</v>
      </c>
      <c r="E149" s="107" t="s">
        <v>411</v>
      </c>
    </row>
    <row r="150" spans="2:5">
      <c r="B150" s="106">
        <v>242</v>
      </c>
      <c r="D150" s="95" t="s">
        <v>412</v>
      </c>
      <c r="E150" s="107" t="s">
        <v>413</v>
      </c>
    </row>
    <row r="151" spans="2:5">
      <c r="B151" s="106">
        <v>243</v>
      </c>
      <c r="D151" s="95" t="s">
        <v>414</v>
      </c>
      <c r="E151" s="107" t="s">
        <v>415</v>
      </c>
    </row>
    <row r="152" spans="2:5">
      <c r="B152" s="106">
        <v>244</v>
      </c>
      <c r="D152" s="95" t="s">
        <v>416</v>
      </c>
      <c r="E152" s="107" t="s">
        <v>417</v>
      </c>
    </row>
    <row r="153" spans="2:5">
      <c r="B153" s="106">
        <v>245</v>
      </c>
      <c r="D153" s="95" t="s">
        <v>418</v>
      </c>
      <c r="E153" s="107" t="s">
        <v>419</v>
      </c>
    </row>
    <row r="154" spans="2:5">
      <c r="B154" s="106">
        <v>246</v>
      </c>
      <c r="D154" s="95" t="s">
        <v>420</v>
      </c>
      <c r="E154" s="107" t="s">
        <v>421</v>
      </c>
    </row>
    <row r="155" spans="2:5">
      <c r="B155" s="106">
        <v>247</v>
      </c>
      <c r="D155" s="95" t="s">
        <v>422</v>
      </c>
      <c r="E155" s="107" t="s">
        <v>423</v>
      </c>
    </row>
    <row r="156" spans="2:5">
      <c r="B156" s="106">
        <v>248</v>
      </c>
      <c r="D156" s="95" t="s">
        <v>424</v>
      </c>
      <c r="E156" s="107" t="s">
        <v>425</v>
      </c>
    </row>
    <row r="157" spans="2:5">
      <c r="B157" s="106">
        <v>249</v>
      </c>
      <c r="D157" s="95" t="s">
        <v>426</v>
      </c>
      <c r="E157" s="107" t="s">
        <v>427</v>
      </c>
    </row>
    <row r="158" spans="2:5">
      <c r="B158" s="106">
        <v>250</v>
      </c>
      <c r="D158" s="95" t="s">
        <v>428</v>
      </c>
      <c r="E158" s="107" t="s">
        <v>429</v>
      </c>
    </row>
    <row r="159" spans="2:5">
      <c r="B159" s="106">
        <v>251</v>
      </c>
      <c r="D159" s="95" t="s">
        <v>430</v>
      </c>
      <c r="E159" s="107" t="s">
        <v>431</v>
      </c>
    </row>
    <row r="160" spans="2:5">
      <c r="B160" s="106">
        <v>252</v>
      </c>
      <c r="D160" s="95" t="s">
        <v>432</v>
      </c>
      <c r="E160" s="107" t="s">
        <v>433</v>
      </c>
    </row>
    <row r="161" spans="2:5">
      <c r="B161" s="106">
        <v>253</v>
      </c>
      <c r="D161" s="95" t="s">
        <v>434</v>
      </c>
      <c r="E161" s="107" t="s">
        <v>435</v>
      </c>
    </row>
    <row r="162" spans="2:5" ht="24">
      <c r="B162" s="106">
        <v>254</v>
      </c>
      <c r="D162" s="95" t="s">
        <v>436</v>
      </c>
      <c r="E162" s="107" t="s">
        <v>437</v>
      </c>
    </row>
    <row r="163" spans="2:5" ht="24">
      <c r="B163" s="106">
        <v>255</v>
      </c>
      <c r="D163" s="95" t="s">
        <v>438</v>
      </c>
      <c r="E163" s="107" t="s">
        <v>439</v>
      </c>
    </row>
    <row r="164" spans="2:5" ht="24">
      <c r="B164" s="106">
        <v>256</v>
      </c>
      <c r="D164" s="95" t="s">
        <v>440</v>
      </c>
      <c r="E164" s="107" t="s">
        <v>441</v>
      </c>
    </row>
    <row r="165" spans="2:5">
      <c r="B165" s="106">
        <v>257</v>
      </c>
      <c r="D165" s="95" t="s">
        <v>442</v>
      </c>
      <c r="E165" s="107" t="s">
        <v>443</v>
      </c>
    </row>
    <row r="166" spans="2:5">
      <c r="B166" s="106">
        <v>258</v>
      </c>
      <c r="D166" s="95" t="s">
        <v>444</v>
      </c>
      <c r="E166" s="107" t="s">
        <v>445</v>
      </c>
    </row>
    <row r="167" spans="2:5">
      <c r="B167" s="106">
        <v>259</v>
      </c>
      <c r="D167" s="95" t="s">
        <v>446</v>
      </c>
      <c r="E167" s="107" t="s">
        <v>447</v>
      </c>
    </row>
    <row r="168" spans="2:5">
      <c r="B168" s="106">
        <v>260</v>
      </c>
      <c r="D168" s="95" t="s">
        <v>448</v>
      </c>
      <c r="E168" s="107" t="s">
        <v>449</v>
      </c>
    </row>
    <row r="169" spans="2:5">
      <c r="B169" s="106">
        <v>261</v>
      </c>
      <c r="D169" s="95" t="s">
        <v>450</v>
      </c>
      <c r="E169" s="107" t="s">
        <v>451</v>
      </c>
    </row>
    <row r="170" spans="2:5" ht="24">
      <c r="B170" s="106">
        <v>262</v>
      </c>
      <c r="D170" s="95" t="s">
        <v>452</v>
      </c>
      <c r="E170" s="107" t="s">
        <v>453</v>
      </c>
    </row>
    <row r="171" spans="2:5">
      <c r="B171" s="106">
        <v>263</v>
      </c>
      <c r="D171" s="95" t="s">
        <v>454</v>
      </c>
      <c r="E171" s="107" t="s">
        <v>455</v>
      </c>
    </row>
    <row r="172" spans="2:5">
      <c r="B172" s="106">
        <v>264</v>
      </c>
      <c r="D172" s="95" t="s">
        <v>456</v>
      </c>
      <c r="E172" s="107" t="s">
        <v>457</v>
      </c>
    </row>
    <row r="173" spans="2:5">
      <c r="B173" s="106">
        <v>265</v>
      </c>
      <c r="D173" s="95" t="s">
        <v>458</v>
      </c>
      <c r="E173" s="107" t="s">
        <v>459</v>
      </c>
    </row>
    <row r="174" spans="2:5">
      <c r="B174" s="106">
        <v>266</v>
      </c>
      <c r="D174" s="95" t="s">
        <v>460</v>
      </c>
      <c r="E174" s="107" t="s">
        <v>461</v>
      </c>
    </row>
    <row r="175" spans="2:5">
      <c r="B175" s="106">
        <v>267</v>
      </c>
      <c r="D175" s="95" t="s">
        <v>462</v>
      </c>
      <c r="E175" s="107" t="s">
        <v>463</v>
      </c>
    </row>
    <row r="176" spans="2:5">
      <c r="B176" s="106">
        <v>268</v>
      </c>
      <c r="D176" s="95" t="s">
        <v>464</v>
      </c>
      <c r="E176" s="107" t="s">
        <v>465</v>
      </c>
    </row>
    <row r="177" spans="2:5">
      <c r="B177" s="106">
        <v>269</v>
      </c>
      <c r="D177" s="95" t="s">
        <v>466</v>
      </c>
      <c r="E177" s="107" t="s">
        <v>467</v>
      </c>
    </row>
    <row r="178" spans="2:5">
      <c r="B178" s="106">
        <v>270</v>
      </c>
      <c r="D178" s="95" t="s">
        <v>468</v>
      </c>
      <c r="E178" s="107" t="s">
        <v>469</v>
      </c>
    </row>
    <row r="179" spans="2:5">
      <c r="B179" s="106">
        <v>271</v>
      </c>
      <c r="D179" s="95" t="s">
        <v>470</v>
      </c>
      <c r="E179" s="107" t="s">
        <v>471</v>
      </c>
    </row>
    <row r="180" spans="2:5" ht="24">
      <c r="B180" s="106">
        <v>272</v>
      </c>
      <c r="D180" s="95" t="s">
        <v>472</v>
      </c>
    </row>
    <row r="181" spans="2:5">
      <c r="B181" s="106">
        <v>273</v>
      </c>
      <c r="D181" s="95" t="s">
        <v>473</v>
      </c>
      <c r="E181" s="107" t="s">
        <v>474</v>
      </c>
    </row>
    <row r="182" spans="2:5">
      <c r="B182" s="106">
        <v>274</v>
      </c>
      <c r="D182" s="95" t="s">
        <v>475</v>
      </c>
      <c r="E182" s="107" t="s">
        <v>476</v>
      </c>
    </row>
    <row r="183" spans="2:5">
      <c r="B183" s="106">
        <v>275</v>
      </c>
      <c r="D183" s="95" t="s">
        <v>477</v>
      </c>
      <c r="E183" s="107" t="s">
        <v>478</v>
      </c>
    </row>
    <row r="184" spans="2:5">
      <c r="B184" s="106">
        <v>276</v>
      </c>
      <c r="D184" s="95" t="s">
        <v>479</v>
      </c>
      <c r="E184" s="107" t="s">
        <v>480</v>
      </c>
    </row>
    <row r="185" spans="2:5">
      <c r="B185" s="106">
        <v>277</v>
      </c>
      <c r="D185" s="95" t="s">
        <v>481</v>
      </c>
      <c r="E185" s="107" t="s">
        <v>482</v>
      </c>
    </row>
    <row r="186" spans="2:5">
      <c r="B186" s="106">
        <v>278</v>
      </c>
      <c r="D186" s="95" t="s">
        <v>483</v>
      </c>
      <c r="E186" s="107" t="s">
        <v>484</v>
      </c>
    </row>
    <row r="187" spans="2:5">
      <c r="B187" s="106">
        <v>279</v>
      </c>
      <c r="D187" s="95" t="s">
        <v>485</v>
      </c>
      <c r="E187" s="107" t="s">
        <v>486</v>
      </c>
    </row>
    <row r="188" spans="2:5">
      <c r="B188" s="106">
        <v>280</v>
      </c>
      <c r="D188" s="95" t="s">
        <v>487</v>
      </c>
      <c r="E188" s="107" t="s">
        <v>487</v>
      </c>
    </row>
    <row r="189" spans="2:5">
      <c r="B189" s="106">
        <v>281</v>
      </c>
      <c r="D189" s="95" t="s">
        <v>488</v>
      </c>
      <c r="E189" s="107" t="s">
        <v>488</v>
      </c>
    </row>
    <row r="190" spans="2:5">
      <c r="B190" s="106">
        <v>282</v>
      </c>
      <c r="D190" s="95" t="s">
        <v>489</v>
      </c>
      <c r="E190" s="107" t="s">
        <v>490</v>
      </c>
    </row>
    <row r="191" spans="2:5">
      <c r="B191" s="106">
        <v>283</v>
      </c>
      <c r="D191" s="95" t="s">
        <v>491</v>
      </c>
      <c r="E191" s="107" t="s">
        <v>492</v>
      </c>
    </row>
    <row r="192" spans="2:5">
      <c r="B192" s="106">
        <v>284</v>
      </c>
      <c r="D192" s="95" t="s">
        <v>493</v>
      </c>
      <c r="E192" s="107" t="s">
        <v>494</v>
      </c>
    </row>
    <row r="193" spans="2:5">
      <c r="B193" s="106">
        <v>285</v>
      </c>
      <c r="D193" s="95" t="s">
        <v>495</v>
      </c>
      <c r="E193" s="107" t="s">
        <v>496</v>
      </c>
    </row>
    <row r="194" spans="2:5">
      <c r="B194" s="106">
        <v>286</v>
      </c>
      <c r="D194" s="95" t="s">
        <v>497</v>
      </c>
      <c r="E194" s="107" t="s">
        <v>498</v>
      </c>
    </row>
    <row r="195" spans="2:5">
      <c r="B195" s="106">
        <v>287</v>
      </c>
      <c r="D195" s="95" t="s">
        <v>499</v>
      </c>
      <c r="E195" s="107" t="s">
        <v>500</v>
      </c>
    </row>
    <row r="196" spans="2:5">
      <c r="B196" s="106">
        <v>288</v>
      </c>
      <c r="D196" s="95" t="s">
        <v>501</v>
      </c>
      <c r="E196" s="107" t="s">
        <v>498</v>
      </c>
    </row>
    <row r="197" spans="2:5">
      <c r="B197" s="106">
        <v>289</v>
      </c>
      <c r="D197" s="95" t="s">
        <v>502</v>
      </c>
      <c r="E197" s="107" t="s">
        <v>503</v>
      </c>
    </row>
    <row r="198" spans="2:5">
      <c r="B198" s="106">
        <v>290</v>
      </c>
      <c r="D198" s="95" t="s">
        <v>504</v>
      </c>
      <c r="E198" s="107" t="s">
        <v>505</v>
      </c>
    </row>
    <row r="199" spans="2:5">
      <c r="B199" s="106">
        <v>291</v>
      </c>
      <c r="D199" s="95" t="s">
        <v>506</v>
      </c>
      <c r="E199" s="107" t="s">
        <v>507</v>
      </c>
    </row>
    <row r="200" spans="2:5">
      <c r="B200" s="106">
        <v>292</v>
      </c>
      <c r="D200" s="95" t="s">
        <v>508</v>
      </c>
      <c r="E200" s="107" t="s">
        <v>509</v>
      </c>
    </row>
    <row r="201" spans="2:5">
      <c r="B201" s="106">
        <v>293</v>
      </c>
      <c r="D201" s="95" t="s">
        <v>510</v>
      </c>
      <c r="E201" s="107" t="s">
        <v>511</v>
      </c>
    </row>
    <row r="202" spans="2:5">
      <c r="B202" s="106">
        <v>294</v>
      </c>
      <c r="D202" s="95" t="s">
        <v>512</v>
      </c>
      <c r="E202" s="107" t="s">
        <v>513</v>
      </c>
    </row>
    <row r="203" spans="2:5">
      <c r="B203" s="106">
        <v>295</v>
      </c>
      <c r="D203" s="95" t="s">
        <v>514</v>
      </c>
      <c r="E203" s="107" t="s">
        <v>515</v>
      </c>
    </row>
    <row r="204" spans="2:5">
      <c r="B204" s="106">
        <v>296</v>
      </c>
      <c r="D204" s="95" t="s">
        <v>516</v>
      </c>
      <c r="E204" s="107" t="s">
        <v>517</v>
      </c>
    </row>
    <row r="205" spans="2:5">
      <c r="B205" s="106">
        <v>297</v>
      </c>
      <c r="D205" s="95" t="s">
        <v>518</v>
      </c>
      <c r="E205" s="107" t="s">
        <v>519</v>
      </c>
    </row>
    <row r="206" spans="2:5">
      <c r="B206" s="106">
        <v>298</v>
      </c>
      <c r="D206" s="95" t="s">
        <v>520</v>
      </c>
      <c r="E206" s="107" t="s">
        <v>521</v>
      </c>
    </row>
    <row r="207" spans="2:5" ht="24">
      <c r="B207" s="106">
        <v>299</v>
      </c>
      <c r="D207" s="95" t="s">
        <v>522</v>
      </c>
      <c r="E207" s="107" t="s">
        <v>523</v>
      </c>
    </row>
    <row r="208" spans="2:5" ht="24">
      <c r="B208" s="106">
        <v>300</v>
      </c>
      <c r="D208" s="95" t="s">
        <v>524</v>
      </c>
      <c r="E208" s="107" t="s">
        <v>525</v>
      </c>
    </row>
    <row r="209" spans="2:5">
      <c r="B209" s="106">
        <v>301</v>
      </c>
      <c r="D209" s="95" t="s">
        <v>526</v>
      </c>
      <c r="E209" s="107" t="s">
        <v>527</v>
      </c>
    </row>
    <row r="210" spans="2:5">
      <c r="B210" s="106">
        <v>302</v>
      </c>
      <c r="D210" s="95" t="s">
        <v>528</v>
      </c>
      <c r="E210" s="107" t="s">
        <v>529</v>
      </c>
    </row>
    <row r="211" spans="2:5">
      <c r="B211" s="106">
        <v>303</v>
      </c>
      <c r="D211" s="95" t="s">
        <v>530</v>
      </c>
      <c r="E211" s="107" t="s">
        <v>531</v>
      </c>
    </row>
    <row r="212" spans="2:5">
      <c r="B212" s="106">
        <v>304</v>
      </c>
      <c r="D212" s="95" t="s">
        <v>532</v>
      </c>
      <c r="E212" s="107" t="s">
        <v>533</v>
      </c>
    </row>
    <row r="213" spans="2:5">
      <c r="B213" s="106">
        <v>305</v>
      </c>
      <c r="D213" s="95" t="s">
        <v>534</v>
      </c>
      <c r="E213" s="107" t="s">
        <v>535</v>
      </c>
    </row>
    <row r="214" spans="2:5">
      <c r="B214" s="106">
        <v>306</v>
      </c>
      <c r="D214" s="95" t="s">
        <v>536</v>
      </c>
      <c r="E214" s="107" t="s">
        <v>537</v>
      </c>
    </row>
    <row r="215" spans="2:5">
      <c r="B215" s="106">
        <v>307</v>
      </c>
      <c r="D215" s="95" t="s">
        <v>538</v>
      </c>
      <c r="E215" s="107" t="s">
        <v>539</v>
      </c>
    </row>
    <row r="216" spans="2:5">
      <c r="B216" s="106">
        <v>308</v>
      </c>
      <c r="D216" s="95" t="s">
        <v>540</v>
      </c>
      <c r="E216" s="107" t="s">
        <v>541</v>
      </c>
    </row>
    <row r="217" spans="2:5">
      <c r="B217" s="106">
        <v>309</v>
      </c>
      <c r="D217" s="95" t="s">
        <v>542</v>
      </c>
      <c r="E217" s="107" t="s">
        <v>543</v>
      </c>
    </row>
    <row r="218" spans="2:5">
      <c r="B218" s="106">
        <v>310</v>
      </c>
      <c r="D218" s="95" t="s">
        <v>544</v>
      </c>
      <c r="E218" s="107" t="s">
        <v>545</v>
      </c>
    </row>
    <row r="219" spans="2:5" ht="24">
      <c r="B219" s="106">
        <v>311</v>
      </c>
      <c r="D219" s="95" t="s">
        <v>546</v>
      </c>
      <c r="E219" s="107" t="s">
        <v>547</v>
      </c>
    </row>
    <row r="220" spans="2:5">
      <c r="B220" s="106">
        <v>312</v>
      </c>
      <c r="D220" s="95" t="s">
        <v>548</v>
      </c>
      <c r="E220" s="107" t="s">
        <v>549</v>
      </c>
    </row>
    <row r="221" spans="2:5">
      <c r="B221" s="106">
        <v>313</v>
      </c>
      <c r="C221" s="103" t="s">
        <v>204</v>
      </c>
      <c r="D221" s="95" t="s">
        <v>550</v>
      </c>
      <c r="E221" s="109" t="s">
        <v>551</v>
      </c>
    </row>
    <row r="222" spans="2:5">
      <c r="B222" s="106">
        <v>314</v>
      </c>
      <c r="D222" s="95" t="s">
        <v>552</v>
      </c>
      <c r="E222" s="107" t="s">
        <v>553</v>
      </c>
    </row>
    <row r="223" spans="2:5">
      <c r="B223" s="106">
        <v>315</v>
      </c>
      <c r="D223" s="95" t="s">
        <v>554</v>
      </c>
      <c r="E223" s="107" t="s">
        <v>555</v>
      </c>
    </row>
    <row r="224" spans="2:5">
      <c r="B224" s="106">
        <v>316</v>
      </c>
      <c r="D224" s="95" t="s">
        <v>556</v>
      </c>
      <c r="E224" s="107" t="s">
        <v>557</v>
      </c>
    </row>
    <row r="225" spans="1:6">
      <c r="B225" s="106">
        <v>317</v>
      </c>
      <c r="D225" s="95" t="s">
        <v>558</v>
      </c>
      <c r="E225" s="107" t="s">
        <v>559</v>
      </c>
    </row>
    <row r="226" spans="1:6">
      <c r="B226" s="106">
        <v>318</v>
      </c>
      <c r="D226" s="95" t="s">
        <v>560</v>
      </c>
      <c r="E226" s="107" t="s">
        <v>561</v>
      </c>
    </row>
    <row r="227" spans="1:6">
      <c r="B227" s="106">
        <v>319</v>
      </c>
      <c r="D227" s="95" t="s">
        <v>562</v>
      </c>
      <c r="E227" s="107" t="s">
        <v>563</v>
      </c>
    </row>
    <row r="228" spans="1:6">
      <c r="B228" s="106">
        <v>320</v>
      </c>
      <c r="D228" s="95" t="s">
        <v>564</v>
      </c>
      <c r="E228" s="107" t="s">
        <v>565</v>
      </c>
    </row>
    <row r="229" spans="1:6" ht="36">
      <c r="B229" s="106">
        <v>321</v>
      </c>
      <c r="D229" s="95" t="s">
        <v>566</v>
      </c>
      <c r="E229" s="107" t="s">
        <v>567</v>
      </c>
    </row>
    <row r="230" spans="1:6">
      <c r="B230" s="106">
        <v>322</v>
      </c>
      <c r="D230" s="95" t="s">
        <v>568</v>
      </c>
      <c r="E230" s="107" t="s">
        <v>569</v>
      </c>
    </row>
    <row r="231" spans="1:6" ht="24">
      <c r="B231" s="106">
        <v>323</v>
      </c>
      <c r="D231" s="95" t="s">
        <v>570</v>
      </c>
      <c r="E231" s="107" t="s">
        <v>571</v>
      </c>
    </row>
    <row r="232" spans="1:6">
      <c r="A232" s="97"/>
      <c r="B232" s="106">
        <v>324</v>
      </c>
      <c r="C232" s="105" t="s">
        <v>158</v>
      </c>
      <c r="D232" s="96" t="s">
        <v>572</v>
      </c>
      <c r="E232" s="96" t="s">
        <v>573</v>
      </c>
      <c r="F232" s="98"/>
    </row>
    <row r="233" spans="1:6">
      <c r="A233" s="97"/>
      <c r="B233" s="106">
        <v>325</v>
      </c>
      <c r="C233" s="105" t="s">
        <v>158</v>
      </c>
      <c r="D233" s="96" t="s">
        <v>574</v>
      </c>
      <c r="E233" s="96" t="s">
        <v>575</v>
      </c>
      <c r="F233" s="98"/>
    </row>
    <row r="234" spans="1:6">
      <c r="A234" s="97"/>
      <c r="B234" s="106">
        <v>326</v>
      </c>
      <c r="C234" s="105" t="s">
        <v>158</v>
      </c>
      <c r="D234" s="96" t="s">
        <v>576</v>
      </c>
      <c r="E234" s="96" t="s">
        <v>577</v>
      </c>
      <c r="F234" s="98"/>
    </row>
    <row r="235" spans="1:6">
      <c r="B235" s="106">
        <v>327</v>
      </c>
      <c r="D235" s="95" t="s">
        <v>578</v>
      </c>
      <c r="E235" s="107" t="s">
        <v>579</v>
      </c>
    </row>
    <row r="236" spans="1:6" ht="12.75">
      <c r="B236" s="106">
        <v>328</v>
      </c>
      <c r="D236" s="95" t="s">
        <v>580</v>
      </c>
      <c r="E236" s="111" t="s">
        <v>581</v>
      </c>
    </row>
    <row r="237" spans="1:6">
      <c r="B237" s="106">
        <v>329</v>
      </c>
      <c r="D237" s="95" t="s">
        <v>582</v>
      </c>
      <c r="E237" s="107" t="s">
        <v>583</v>
      </c>
    </row>
    <row r="238" spans="1:6">
      <c r="B238" s="106">
        <v>330</v>
      </c>
      <c r="D238" s="95" t="s">
        <v>584</v>
      </c>
      <c r="E238" s="107" t="s">
        <v>585</v>
      </c>
    </row>
    <row r="239" spans="1:6">
      <c r="B239" s="106">
        <v>331</v>
      </c>
      <c r="D239" s="95" t="s">
        <v>586</v>
      </c>
      <c r="E239" s="107" t="s">
        <v>587</v>
      </c>
    </row>
    <row r="240" spans="1:6">
      <c r="B240" s="106">
        <v>332</v>
      </c>
      <c r="D240" s="95" t="s">
        <v>588</v>
      </c>
      <c r="E240" s="107" t="s">
        <v>589</v>
      </c>
    </row>
    <row r="241" spans="2:5">
      <c r="B241" s="106">
        <v>333</v>
      </c>
      <c r="D241" s="95" t="s">
        <v>590</v>
      </c>
      <c r="E241" s="107" t="s">
        <v>591</v>
      </c>
    </row>
    <row r="242" spans="2:5">
      <c r="B242" s="106">
        <v>334</v>
      </c>
      <c r="D242" s="95" t="s">
        <v>592</v>
      </c>
      <c r="E242" s="107" t="s">
        <v>593</v>
      </c>
    </row>
    <row r="243" spans="2:5">
      <c r="B243" s="106">
        <v>335</v>
      </c>
      <c r="D243" s="95" t="s">
        <v>594</v>
      </c>
      <c r="E243" s="107" t="s">
        <v>595</v>
      </c>
    </row>
    <row r="244" spans="2:5">
      <c r="B244" s="106">
        <v>336</v>
      </c>
      <c r="D244" s="95" t="s">
        <v>596</v>
      </c>
      <c r="E244" s="107" t="s">
        <v>597</v>
      </c>
    </row>
    <row r="245" spans="2:5">
      <c r="B245" s="106">
        <v>337</v>
      </c>
      <c r="D245" s="95" t="s">
        <v>598</v>
      </c>
      <c r="E245" s="107" t="s">
        <v>599</v>
      </c>
    </row>
    <row r="246" spans="2:5">
      <c r="B246" s="106">
        <v>338</v>
      </c>
      <c r="D246" s="95" t="s">
        <v>600</v>
      </c>
      <c r="E246" s="107" t="s">
        <v>601</v>
      </c>
    </row>
    <row r="247" spans="2:5">
      <c r="B247" s="106">
        <v>339</v>
      </c>
      <c r="D247" s="95" t="s">
        <v>602</v>
      </c>
      <c r="E247" s="107" t="s">
        <v>603</v>
      </c>
    </row>
    <row r="248" spans="2:5">
      <c r="B248" s="106">
        <v>340</v>
      </c>
      <c r="D248" s="95" t="s">
        <v>604</v>
      </c>
      <c r="E248" s="107" t="s">
        <v>605</v>
      </c>
    </row>
    <row r="249" spans="2:5">
      <c r="B249" s="106">
        <v>341</v>
      </c>
      <c r="D249" s="95" t="s">
        <v>606</v>
      </c>
      <c r="E249" s="107" t="s">
        <v>607</v>
      </c>
    </row>
    <row r="250" spans="2:5">
      <c r="B250" s="106">
        <v>342</v>
      </c>
      <c r="D250" s="95" t="s">
        <v>608</v>
      </c>
      <c r="E250" s="107" t="s">
        <v>609</v>
      </c>
    </row>
    <row r="251" spans="2:5">
      <c r="B251" s="106">
        <v>343</v>
      </c>
      <c r="D251" s="95" t="s">
        <v>610</v>
      </c>
      <c r="E251" s="107" t="s">
        <v>611</v>
      </c>
    </row>
    <row r="252" spans="2:5">
      <c r="B252" s="106">
        <v>344</v>
      </c>
      <c r="D252" s="95" t="s">
        <v>612</v>
      </c>
      <c r="E252" s="107" t="s">
        <v>613</v>
      </c>
    </row>
    <row r="253" spans="2:5">
      <c r="B253" s="106">
        <v>345</v>
      </c>
      <c r="D253" s="95" t="s">
        <v>614</v>
      </c>
      <c r="E253" s="107" t="s">
        <v>615</v>
      </c>
    </row>
    <row r="254" spans="2:5">
      <c r="B254" s="106">
        <v>346</v>
      </c>
      <c r="D254" s="95" t="s">
        <v>616</v>
      </c>
      <c r="E254" s="107" t="s">
        <v>617</v>
      </c>
    </row>
    <row r="255" spans="2:5">
      <c r="B255" s="106">
        <v>347</v>
      </c>
      <c r="D255" s="95" t="s">
        <v>618</v>
      </c>
      <c r="E255" s="107" t="s">
        <v>618</v>
      </c>
    </row>
    <row r="256" spans="2:5">
      <c r="B256" s="106">
        <v>348</v>
      </c>
      <c r="D256" s="95" t="s">
        <v>619</v>
      </c>
      <c r="E256" s="107" t="s">
        <v>620</v>
      </c>
    </row>
    <row r="257" spans="2:5" ht="24">
      <c r="B257" s="106">
        <v>349</v>
      </c>
      <c r="D257" s="95" t="s">
        <v>621</v>
      </c>
      <c r="E257" s="107" t="s">
        <v>622</v>
      </c>
    </row>
    <row r="258" spans="2:5">
      <c r="B258" s="106">
        <v>350</v>
      </c>
      <c r="D258" s="95" t="s">
        <v>623</v>
      </c>
      <c r="E258" s="107" t="s">
        <v>624</v>
      </c>
    </row>
    <row r="259" spans="2:5" ht="24">
      <c r="B259" s="106">
        <v>351</v>
      </c>
      <c r="D259" s="95" t="s">
        <v>625</v>
      </c>
      <c r="E259" s="107" t="s">
        <v>626</v>
      </c>
    </row>
    <row r="260" spans="2:5" ht="12.75">
      <c r="B260" s="106">
        <v>352</v>
      </c>
      <c r="D260" s="101" t="s">
        <v>627</v>
      </c>
      <c r="E260" s="110" t="s">
        <v>628</v>
      </c>
    </row>
    <row r="261" spans="2:5">
      <c r="B261" s="106">
        <v>353</v>
      </c>
      <c r="D261" s="95" t="s">
        <v>629</v>
      </c>
      <c r="E261" s="107" t="s">
        <v>630</v>
      </c>
    </row>
    <row r="262" spans="2:5">
      <c r="B262" s="106">
        <v>354</v>
      </c>
      <c r="D262" s="95" t="s">
        <v>631</v>
      </c>
      <c r="E262" s="107" t="s">
        <v>632</v>
      </c>
    </row>
    <row r="263" spans="2:5">
      <c r="B263" s="106">
        <v>355</v>
      </c>
      <c r="D263" s="95" t="s">
        <v>633</v>
      </c>
      <c r="E263" s="107" t="s">
        <v>634</v>
      </c>
    </row>
    <row r="264" spans="2:5">
      <c r="B264" s="106">
        <v>356</v>
      </c>
      <c r="D264" s="95" t="s">
        <v>635</v>
      </c>
      <c r="E264" s="107" t="s">
        <v>636</v>
      </c>
    </row>
    <row r="265" spans="2:5">
      <c r="B265" s="106">
        <v>357</v>
      </c>
      <c r="D265" s="95" t="s">
        <v>637</v>
      </c>
      <c r="E265" s="107" t="s">
        <v>638</v>
      </c>
    </row>
    <row r="266" spans="2:5">
      <c r="B266" s="106">
        <v>358</v>
      </c>
      <c r="D266" s="95" t="s">
        <v>639</v>
      </c>
      <c r="E266" s="107" t="s">
        <v>640</v>
      </c>
    </row>
    <row r="267" spans="2:5">
      <c r="B267" s="106">
        <v>359</v>
      </c>
      <c r="D267" s="95" t="s">
        <v>641</v>
      </c>
      <c r="E267" s="107" t="s">
        <v>642</v>
      </c>
    </row>
    <row r="268" spans="2:5">
      <c r="B268" s="106">
        <v>360</v>
      </c>
      <c r="D268" s="95" t="s">
        <v>643</v>
      </c>
      <c r="E268" s="107" t="s">
        <v>644</v>
      </c>
    </row>
    <row r="269" spans="2:5">
      <c r="B269" s="106">
        <v>361</v>
      </c>
      <c r="D269" s="95" t="s">
        <v>645</v>
      </c>
    </row>
    <row r="270" spans="2:5">
      <c r="B270" s="106">
        <v>362</v>
      </c>
      <c r="D270" s="95" t="s">
        <v>646</v>
      </c>
      <c r="E270" s="107" t="s">
        <v>647</v>
      </c>
    </row>
    <row r="271" spans="2:5" ht="24">
      <c r="B271" s="106">
        <v>363</v>
      </c>
      <c r="D271" s="95" t="s">
        <v>648</v>
      </c>
      <c r="E271" s="107" t="s">
        <v>649</v>
      </c>
    </row>
    <row r="272" spans="2:5" ht="24">
      <c r="B272" s="106">
        <v>364</v>
      </c>
      <c r="D272" s="95" t="s">
        <v>650</v>
      </c>
      <c r="E272" s="107" t="s">
        <v>651</v>
      </c>
    </row>
    <row r="273" spans="2:5">
      <c r="B273" s="106">
        <v>365</v>
      </c>
      <c r="D273" s="95" t="s">
        <v>652</v>
      </c>
      <c r="E273" s="107" t="s">
        <v>653</v>
      </c>
    </row>
    <row r="274" spans="2:5">
      <c r="B274" s="106">
        <v>366</v>
      </c>
      <c r="D274" s="95" t="s">
        <v>654</v>
      </c>
      <c r="E274" s="107" t="s">
        <v>655</v>
      </c>
    </row>
    <row r="275" spans="2:5">
      <c r="B275" s="106">
        <v>367</v>
      </c>
      <c r="D275" s="95" t="s">
        <v>656</v>
      </c>
      <c r="E275" s="107" t="s">
        <v>657</v>
      </c>
    </row>
    <row r="276" spans="2:5">
      <c r="B276" s="106">
        <v>368</v>
      </c>
      <c r="D276" s="95" t="s">
        <v>658</v>
      </c>
      <c r="E276" s="107" t="s">
        <v>659</v>
      </c>
    </row>
    <row r="277" spans="2:5">
      <c r="B277" s="106">
        <v>369</v>
      </c>
      <c r="D277" s="95" t="s">
        <v>660</v>
      </c>
      <c r="E277" s="107" t="s">
        <v>661</v>
      </c>
    </row>
    <row r="278" spans="2:5">
      <c r="B278" s="106">
        <v>370</v>
      </c>
      <c r="D278" s="95" t="s">
        <v>662</v>
      </c>
      <c r="E278" s="107" t="s">
        <v>663</v>
      </c>
    </row>
    <row r="279" spans="2:5">
      <c r="B279" s="106">
        <v>371</v>
      </c>
      <c r="D279" s="95" t="s">
        <v>664</v>
      </c>
      <c r="E279" s="107" t="s">
        <v>665</v>
      </c>
    </row>
    <row r="280" spans="2:5">
      <c r="B280" s="106">
        <v>372</v>
      </c>
      <c r="D280" s="95" t="s">
        <v>666</v>
      </c>
      <c r="E280" s="107" t="s">
        <v>667</v>
      </c>
    </row>
    <row r="281" spans="2:5">
      <c r="B281" s="106">
        <v>373</v>
      </c>
      <c r="D281" s="95" t="s">
        <v>668</v>
      </c>
      <c r="E281" s="107" t="s">
        <v>669</v>
      </c>
    </row>
    <row r="282" spans="2:5">
      <c r="B282" s="106">
        <v>374</v>
      </c>
      <c r="D282" s="95" t="s">
        <v>670</v>
      </c>
      <c r="E282" s="107" t="s">
        <v>671</v>
      </c>
    </row>
    <row r="283" spans="2:5">
      <c r="B283" s="106">
        <v>375</v>
      </c>
      <c r="D283" s="95" t="s">
        <v>672</v>
      </c>
      <c r="E283" s="107" t="s">
        <v>673</v>
      </c>
    </row>
    <row r="284" spans="2:5">
      <c r="B284" s="106">
        <v>376</v>
      </c>
      <c r="D284" s="95" t="s">
        <v>674</v>
      </c>
      <c r="E284" s="107" t="s">
        <v>675</v>
      </c>
    </row>
    <row r="285" spans="2:5">
      <c r="B285" s="106">
        <v>377</v>
      </c>
      <c r="D285" s="95" t="s">
        <v>676</v>
      </c>
      <c r="E285" s="107" t="s">
        <v>677</v>
      </c>
    </row>
    <row r="286" spans="2:5">
      <c r="B286" s="106">
        <v>378</v>
      </c>
      <c r="D286" s="95" t="s">
        <v>678</v>
      </c>
      <c r="E286" s="107" t="s">
        <v>679</v>
      </c>
    </row>
    <row r="287" spans="2:5">
      <c r="B287" s="106">
        <v>379</v>
      </c>
      <c r="D287" s="95" t="s">
        <v>680</v>
      </c>
      <c r="E287" s="107" t="s">
        <v>681</v>
      </c>
    </row>
    <row r="288" spans="2:5">
      <c r="B288" s="106">
        <v>380</v>
      </c>
      <c r="D288" s="95" t="s">
        <v>682</v>
      </c>
      <c r="E288" s="107" t="s">
        <v>683</v>
      </c>
    </row>
    <row r="289" spans="2:5">
      <c r="B289" s="106">
        <v>381</v>
      </c>
      <c r="D289" s="95" t="s">
        <v>684</v>
      </c>
      <c r="E289" s="107" t="s">
        <v>685</v>
      </c>
    </row>
    <row r="290" spans="2:5" ht="36">
      <c r="B290" s="106">
        <v>382</v>
      </c>
      <c r="D290" s="95" t="s">
        <v>686</v>
      </c>
      <c r="E290" s="107" t="s">
        <v>687</v>
      </c>
    </row>
    <row r="291" spans="2:5">
      <c r="B291" s="106">
        <v>383</v>
      </c>
      <c r="D291" s="95" t="s">
        <v>688</v>
      </c>
      <c r="E291" s="107" t="s">
        <v>689</v>
      </c>
    </row>
    <row r="292" spans="2:5" ht="24">
      <c r="B292" s="106">
        <v>384</v>
      </c>
      <c r="D292" s="95" t="s">
        <v>690</v>
      </c>
      <c r="E292" s="107" t="s">
        <v>691</v>
      </c>
    </row>
    <row r="293" spans="2:5">
      <c r="B293" s="106">
        <v>385</v>
      </c>
      <c r="D293" s="95" t="s">
        <v>692</v>
      </c>
      <c r="E293" s="107" t="s">
        <v>693</v>
      </c>
    </row>
    <row r="294" spans="2:5" ht="24">
      <c r="B294" s="106">
        <v>386</v>
      </c>
      <c r="D294" s="95" t="s">
        <v>694</v>
      </c>
      <c r="E294" s="107" t="s">
        <v>695</v>
      </c>
    </row>
    <row r="295" spans="2:5" ht="24">
      <c r="B295" s="106">
        <v>387</v>
      </c>
      <c r="D295" s="95" t="s">
        <v>696</v>
      </c>
      <c r="E295" s="107" t="s">
        <v>697</v>
      </c>
    </row>
    <row r="296" spans="2:5" ht="24">
      <c r="B296" s="106">
        <v>388</v>
      </c>
      <c r="D296" s="95" t="s">
        <v>698</v>
      </c>
      <c r="E296" s="107" t="s">
        <v>699</v>
      </c>
    </row>
    <row r="297" spans="2:5" ht="24">
      <c r="B297" s="106">
        <v>389</v>
      </c>
      <c r="D297" s="95" t="s">
        <v>700</v>
      </c>
      <c r="E297" s="107" t="s">
        <v>701</v>
      </c>
    </row>
    <row r="298" spans="2:5" ht="24">
      <c r="B298" s="106">
        <v>390</v>
      </c>
      <c r="D298" s="95" t="s">
        <v>702</v>
      </c>
      <c r="E298" s="107" t="s">
        <v>703</v>
      </c>
    </row>
    <row r="299" spans="2:5" ht="24">
      <c r="B299" s="106">
        <v>391</v>
      </c>
      <c r="D299" s="95" t="s">
        <v>704</v>
      </c>
      <c r="E299" s="107" t="s">
        <v>705</v>
      </c>
    </row>
    <row r="300" spans="2:5" ht="24">
      <c r="B300" s="106">
        <v>392</v>
      </c>
      <c r="D300" s="95" t="s">
        <v>706</v>
      </c>
      <c r="E300" s="107" t="s">
        <v>707</v>
      </c>
    </row>
    <row r="301" spans="2:5" ht="24">
      <c r="B301" s="106">
        <v>393</v>
      </c>
      <c r="D301" s="95" t="s">
        <v>708</v>
      </c>
      <c r="E301" s="107" t="s">
        <v>709</v>
      </c>
    </row>
    <row r="302" spans="2:5" ht="24">
      <c r="B302" s="106">
        <v>394</v>
      </c>
      <c r="D302" s="95" t="s">
        <v>710</v>
      </c>
      <c r="E302" s="107" t="s">
        <v>711</v>
      </c>
    </row>
    <row r="303" spans="2:5" ht="24">
      <c r="B303" s="106">
        <v>395</v>
      </c>
      <c r="D303" s="95" t="s">
        <v>712</v>
      </c>
      <c r="E303" s="107" t="s">
        <v>713</v>
      </c>
    </row>
    <row r="304" spans="2:5" ht="24">
      <c r="B304" s="106">
        <v>396</v>
      </c>
      <c r="D304" s="95" t="s">
        <v>714</v>
      </c>
      <c r="E304" s="107" t="s">
        <v>715</v>
      </c>
    </row>
    <row r="305" spans="2:5" ht="24">
      <c r="B305" s="106">
        <v>397</v>
      </c>
      <c r="D305" s="95" t="s">
        <v>716</v>
      </c>
      <c r="E305" s="107" t="s">
        <v>717</v>
      </c>
    </row>
    <row r="306" spans="2:5" ht="24">
      <c r="B306" s="106">
        <v>398</v>
      </c>
      <c r="D306" s="95" t="s">
        <v>718</v>
      </c>
      <c r="E306" s="107" t="s">
        <v>719</v>
      </c>
    </row>
    <row r="307" spans="2:5" ht="24">
      <c r="B307" s="106">
        <v>399</v>
      </c>
      <c r="D307" s="95" t="s">
        <v>720</v>
      </c>
      <c r="E307" s="107" t="s">
        <v>721</v>
      </c>
    </row>
    <row r="308" spans="2:5" ht="24">
      <c r="B308" s="106">
        <v>400</v>
      </c>
      <c r="D308" s="95" t="s">
        <v>722</v>
      </c>
      <c r="E308" s="107" t="s">
        <v>723</v>
      </c>
    </row>
    <row r="309" spans="2:5" ht="24">
      <c r="B309" s="106">
        <v>401</v>
      </c>
      <c r="D309" s="95" t="s">
        <v>724</v>
      </c>
      <c r="E309" s="107" t="s">
        <v>725</v>
      </c>
    </row>
    <row r="310" spans="2:5" ht="24">
      <c r="B310" s="106">
        <v>402</v>
      </c>
      <c r="D310" s="95" t="s">
        <v>726</v>
      </c>
      <c r="E310" s="107" t="s">
        <v>727</v>
      </c>
    </row>
    <row r="311" spans="2:5" ht="24">
      <c r="B311" s="106">
        <v>403</v>
      </c>
      <c r="D311" s="95" t="s">
        <v>728</v>
      </c>
      <c r="E311" s="107" t="s">
        <v>729</v>
      </c>
    </row>
    <row r="312" spans="2:5" ht="24">
      <c r="B312" s="106">
        <v>404</v>
      </c>
      <c r="D312" s="95" t="s">
        <v>730</v>
      </c>
      <c r="E312" s="107" t="s">
        <v>731</v>
      </c>
    </row>
    <row r="313" spans="2:5">
      <c r="B313" s="106">
        <v>405</v>
      </c>
      <c r="D313" s="95" t="s">
        <v>732</v>
      </c>
      <c r="E313" s="107" t="s">
        <v>733</v>
      </c>
    </row>
    <row r="314" spans="2:5">
      <c r="B314" s="106">
        <v>406</v>
      </c>
      <c r="D314" s="95" t="s">
        <v>734</v>
      </c>
      <c r="E314" s="107" t="s">
        <v>733</v>
      </c>
    </row>
    <row r="315" spans="2:5">
      <c r="B315" s="106">
        <v>407</v>
      </c>
      <c r="D315" s="95" t="s">
        <v>735</v>
      </c>
      <c r="E315" s="107" t="s">
        <v>736</v>
      </c>
    </row>
    <row r="316" spans="2:5" ht="24">
      <c r="B316" s="106">
        <v>408</v>
      </c>
      <c r="D316" s="95" t="s">
        <v>737</v>
      </c>
      <c r="E316" s="107" t="s">
        <v>738</v>
      </c>
    </row>
    <row r="317" spans="2:5">
      <c r="B317" s="106">
        <v>409</v>
      </c>
      <c r="D317" s="95" t="s">
        <v>739</v>
      </c>
      <c r="E317" s="107" t="s">
        <v>740</v>
      </c>
    </row>
    <row r="318" spans="2:5" ht="24">
      <c r="B318" s="106">
        <v>410</v>
      </c>
      <c r="D318" s="95" t="s">
        <v>741</v>
      </c>
      <c r="E318" s="107" t="s">
        <v>742</v>
      </c>
    </row>
    <row r="319" spans="2:5">
      <c r="B319" s="106">
        <v>411</v>
      </c>
      <c r="D319" s="95" t="s">
        <v>743</v>
      </c>
      <c r="E319" s="107" t="s">
        <v>744</v>
      </c>
    </row>
    <row r="320" spans="2:5" ht="24">
      <c r="B320" s="106">
        <v>412</v>
      </c>
      <c r="D320" s="95" t="s">
        <v>745</v>
      </c>
      <c r="E320" s="107" t="s">
        <v>746</v>
      </c>
    </row>
    <row r="321" spans="1:6">
      <c r="B321" s="106">
        <v>413</v>
      </c>
      <c r="D321" s="95" t="s">
        <v>747</v>
      </c>
      <c r="E321" s="107" t="s">
        <v>748</v>
      </c>
    </row>
    <row r="322" spans="1:6" ht="24">
      <c r="B322" s="106">
        <v>414</v>
      </c>
      <c r="D322" s="95" t="s">
        <v>749</v>
      </c>
      <c r="E322" s="107" t="s">
        <v>750</v>
      </c>
    </row>
    <row r="323" spans="1:6">
      <c r="B323" s="106">
        <v>415</v>
      </c>
      <c r="D323" s="95" t="s">
        <v>751</v>
      </c>
      <c r="E323" s="107" t="s">
        <v>752</v>
      </c>
    </row>
    <row r="324" spans="1:6" ht="36">
      <c r="B324" s="106">
        <v>416</v>
      </c>
      <c r="D324" s="95" t="s">
        <v>753</v>
      </c>
      <c r="E324" s="107" t="s">
        <v>754</v>
      </c>
    </row>
    <row r="325" spans="1:6">
      <c r="B325" s="106">
        <v>417</v>
      </c>
      <c r="D325" s="95" t="s">
        <v>755</v>
      </c>
      <c r="E325" s="107" t="s">
        <v>756</v>
      </c>
    </row>
    <row r="326" spans="1:6" ht="24">
      <c r="B326" s="106">
        <v>418</v>
      </c>
      <c r="D326" s="95" t="s">
        <v>757</v>
      </c>
      <c r="E326" s="107" t="s">
        <v>758</v>
      </c>
    </row>
    <row r="327" spans="1:6" ht="24">
      <c r="B327" s="106">
        <v>419</v>
      </c>
      <c r="D327" s="95" t="s">
        <v>759</v>
      </c>
      <c r="E327" s="107" t="s">
        <v>760</v>
      </c>
    </row>
    <row r="328" spans="1:6" ht="24">
      <c r="B328" s="106">
        <v>420</v>
      </c>
      <c r="D328" s="95" t="s">
        <v>761</v>
      </c>
      <c r="E328" s="107" t="s">
        <v>762</v>
      </c>
    </row>
    <row r="329" spans="1:6">
      <c r="B329" s="106">
        <v>421</v>
      </c>
      <c r="D329" s="95" t="s">
        <v>763</v>
      </c>
      <c r="E329" s="107" t="s">
        <v>764</v>
      </c>
    </row>
    <row r="330" spans="1:6">
      <c r="B330" s="106">
        <v>422</v>
      </c>
      <c r="D330" s="95" t="s">
        <v>765</v>
      </c>
      <c r="E330" s="107" t="s">
        <v>766</v>
      </c>
    </row>
    <row r="331" spans="1:6">
      <c r="B331" s="106">
        <v>423</v>
      </c>
      <c r="D331" s="95" t="s">
        <v>767</v>
      </c>
      <c r="E331" s="107" t="s">
        <v>768</v>
      </c>
    </row>
    <row r="332" spans="1:6">
      <c r="B332" s="106">
        <v>424</v>
      </c>
      <c r="D332" s="95" t="s">
        <v>769</v>
      </c>
      <c r="E332" s="107" t="s">
        <v>770</v>
      </c>
    </row>
    <row r="333" spans="1:6">
      <c r="B333" s="106">
        <v>425</v>
      </c>
      <c r="D333" s="95" t="s">
        <v>771</v>
      </c>
      <c r="E333" s="107" t="s">
        <v>772</v>
      </c>
    </row>
    <row r="334" spans="1:6">
      <c r="B334" s="106">
        <v>426</v>
      </c>
      <c r="D334" s="95" t="s">
        <v>773</v>
      </c>
      <c r="E334" s="107" t="s">
        <v>774</v>
      </c>
    </row>
    <row r="335" spans="1:6">
      <c r="B335" s="106">
        <v>427</v>
      </c>
      <c r="D335" s="95" t="s">
        <v>775</v>
      </c>
      <c r="E335" s="107" t="s">
        <v>776</v>
      </c>
    </row>
    <row r="336" spans="1:6" ht="38.25">
      <c r="A336" s="101"/>
      <c r="B336" s="106">
        <v>428</v>
      </c>
      <c r="C336" s="104" t="s">
        <v>204</v>
      </c>
      <c r="D336" s="101" t="s">
        <v>777</v>
      </c>
      <c r="E336" s="101" t="s">
        <v>778</v>
      </c>
      <c r="F336" s="102"/>
    </row>
    <row r="337" spans="2:5" ht="36">
      <c r="B337" s="106">
        <v>429</v>
      </c>
      <c r="D337" s="95" t="s">
        <v>779</v>
      </c>
      <c r="E337" s="107" t="s">
        <v>780</v>
      </c>
    </row>
    <row r="338" spans="2:5">
      <c r="B338" s="106">
        <v>430</v>
      </c>
      <c r="D338" s="95" t="s">
        <v>781</v>
      </c>
      <c r="E338" s="107" t="s">
        <v>782</v>
      </c>
    </row>
    <row r="339" spans="2:5">
      <c r="B339" s="106">
        <v>431</v>
      </c>
      <c r="D339" s="95" t="s">
        <v>783</v>
      </c>
      <c r="E339" s="107" t="s">
        <v>784</v>
      </c>
    </row>
    <row r="340" spans="2:5">
      <c r="B340" s="106">
        <v>432</v>
      </c>
      <c r="D340" s="95" t="s">
        <v>785</v>
      </c>
      <c r="E340" s="107" t="s">
        <v>786</v>
      </c>
    </row>
    <row r="341" spans="2:5" ht="24">
      <c r="B341" s="106">
        <v>433</v>
      </c>
      <c r="D341" s="95" t="s">
        <v>787</v>
      </c>
      <c r="E341" s="107" t="s">
        <v>788</v>
      </c>
    </row>
    <row r="342" spans="2:5">
      <c r="B342" s="106">
        <v>434</v>
      </c>
      <c r="D342" s="95" t="s">
        <v>789</v>
      </c>
      <c r="E342" s="107" t="s">
        <v>790</v>
      </c>
    </row>
    <row r="343" spans="2:5">
      <c r="B343" s="106">
        <v>435</v>
      </c>
      <c r="D343" s="95" t="s">
        <v>791</v>
      </c>
      <c r="E343" s="107" t="s">
        <v>792</v>
      </c>
    </row>
    <row r="344" spans="2:5">
      <c r="B344" s="106">
        <v>436</v>
      </c>
      <c r="D344" s="95" t="s">
        <v>793</v>
      </c>
      <c r="E344" s="107" t="s">
        <v>794</v>
      </c>
    </row>
    <row r="345" spans="2:5">
      <c r="B345" s="106">
        <v>437</v>
      </c>
      <c r="D345" s="95" t="s">
        <v>795</v>
      </c>
      <c r="E345" s="107" t="s">
        <v>796</v>
      </c>
    </row>
    <row r="346" spans="2:5">
      <c r="B346" s="106">
        <v>438</v>
      </c>
      <c r="D346" s="95" t="s">
        <v>797</v>
      </c>
      <c r="E346" s="107" t="s">
        <v>798</v>
      </c>
    </row>
    <row r="347" spans="2:5">
      <c r="B347" s="106">
        <v>439</v>
      </c>
      <c r="D347" s="95" t="s">
        <v>799</v>
      </c>
      <c r="E347" s="107" t="s">
        <v>800</v>
      </c>
    </row>
    <row r="348" spans="2:5">
      <c r="B348" s="106">
        <v>440</v>
      </c>
      <c r="D348" s="95" t="s">
        <v>801</v>
      </c>
      <c r="E348" s="107" t="s">
        <v>802</v>
      </c>
    </row>
    <row r="349" spans="2:5" ht="24">
      <c r="B349" s="106">
        <v>441</v>
      </c>
      <c r="D349" s="95" t="s">
        <v>803</v>
      </c>
      <c r="E349" s="107" t="s">
        <v>804</v>
      </c>
    </row>
    <row r="350" spans="2:5">
      <c r="B350" s="106">
        <v>442</v>
      </c>
      <c r="D350" s="95" t="s">
        <v>805</v>
      </c>
      <c r="E350" s="107" t="s">
        <v>806</v>
      </c>
    </row>
    <row r="351" spans="2:5">
      <c r="B351" s="106">
        <v>443</v>
      </c>
      <c r="D351" s="95" t="s">
        <v>807</v>
      </c>
      <c r="E351" s="107" t="s">
        <v>808</v>
      </c>
    </row>
    <row r="352" spans="2:5">
      <c r="B352" s="106">
        <v>444</v>
      </c>
      <c r="D352" s="95" t="s">
        <v>809</v>
      </c>
      <c r="E352" s="107" t="s">
        <v>810</v>
      </c>
    </row>
    <row r="353" spans="2:5" ht="36">
      <c r="B353" s="106">
        <v>445</v>
      </c>
      <c r="D353" s="95" t="s">
        <v>811</v>
      </c>
      <c r="E353" s="107" t="s">
        <v>812</v>
      </c>
    </row>
    <row r="354" spans="2:5">
      <c r="B354" s="106">
        <v>446</v>
      </c>
      <c r="D354" s="95" t="s">
        <v>813</v>
      </c>
      <c r="E354" s="107" t="s">
        <v>814</v>
      </c>
    </row>
    <row r="355" spans="2:5">
      <c r="B355" s="106">
        <v>447</v>
      </c>
      <c r="D355" s="95" t="s">
        <v>815</v>
      </c>
      <c r="E355" s="107" t="s">
        <v>816</v>
      </c>
    </row>
    <row r="356" spans="2:5">
      <c r="B356" s="106">
        <v>448</v>
      </c>
      <c r="D356" s="95" t="s">
        <v>817</v>
      </c>
      <c r="E356" s="107" t="s">
        <v>818</v>
      </c>
    </row>
    <row r="357" spans="2:5">
      <c r="B357" s="106">
        <v>449</v>
      </c>
      <c r="D357" s="95" t="s">
        <v>819</v>
      </c>
      <c r="E357" s="107" t="s">
        <v>820</v>
      </c>
    </row>
    <row r="358" spans="2:5">
      <c r="B358" s="106">
        <v>450</v>
      </c>
      <c r="D358" s="95" t="s">
        <v>821</v>
      </c>
      <c r="E358" s="107" t="s">
        <v>822</v>
      </c>
    </row>
    <row r="359" spans="2:5" ht="24">
      <c r="B359" s="106">
        <v>451</v>
      </c>
      <c r="D359" s="95" t="s">
        <v>823</v>
      </c>
      <c r="E359" s="107" t="s">
        <v>824</v>
      </c>
    </row>
    <row r="360" spans="2:5">
      <c r="B360" s="106">
        <v>452</v>
      </c>
      <c r="D360" s="95" t="s">
        <v>825</v>
      </c>
      <c r="E360" s="107" t="s">
        <v>826</v>
      </c>
    </row>
    <row r="361" spans="2:5">
      <c r="B361" s="106">
        <v>453</v>
      </c>
      <c r="D361" s="95" t="s">
        <v>827</v>
      </c>
      <c r="E361" s="107" t="s">
        <v>828</v>
      </c>
    </row>
    <row r="362" spans="2:5">
      <c r="B362" s="106">
        <v>454</v>
      </c>
      <c r="D362" s="95" t="s">
        <v>829</v>
      </c>
      <c r="E362" s="107" t="s">
        <v>830</v>
      </c>
    </row>
    <row r="363" spans="2:5" ht="24">
      <c r="B363" s="106">
        <v>455</v>
      </c>
      <c r="D363" s="95" t="s">
        <v>831</v>
      </c>
      <c r="E363" s="107" t="s">
        <v>832</v>
      </c>
    </row>
    <row r="364" spans="2:5">
      <c r="B364" s="106">
        <v>456</v>
      </c>
      <c r="D364" s="95" t="s">
        <v>833</v>
      </c>
      <c r="E364" s="107" t="s">
        <v>834</v>
      </c>
    </row>
    <row r="365" spans="2:5">
      <c r="B365" s="106">
        <v>457</v>
      </c>
      <c r="D365" s="95" t="s">
        <v>835</v>
      </c>
      <c r="E365" s="107" t="s">
        <v>836</v>
      </c>
    </row>
    <row r="366" spans="2:5">
      <c r="B366" s="106">
        <v>458</v>
      </c>
      <c r="D366" s="95" t="s">
        <v>837</v>
      </c>
      <c r="E366" s="107" t="s">
        <v>838</v>
      </c>
    </row>
    <row r="367" spans="2:5">
      <c r="B367" s="106">
        <v>459</v>
      </c>
      <c r="D367" s="95" t="s">
        <v>839</v>
      </c>
      <c r="E367" s="107" t="s">
        <v>840</v>
      </c>
    </row>
    <row r="368" spans="2:5" ht="36">
      <c r="B368" s="106">
        <v>460</v>
      </c>
      <c r="D368" s="95" t="s">
        <v>841</v>
      </c>
      <c r="E368" s="107" t="s">
        <v>842</v>
      </c>
    </row>
    <row r="369" spans="1:6">
      <c r="B369" s="106">
        <v>461</v>
      </c>
      <c r="D369" s="95" t="s">
        <v>843</v>
      </c>
      <c r="E369" s="107" t="s">
        <v>844</v>
      </c>
    </row>
    <row r="370" spans="1:6">
      <c r="B370" s="106">
        <v>462</v>
      </c>
      <c r="D370" s="95" t="s">
        <v>845</v>
      </c>
      <c r="E370" s="107" t="s">
        <v>846</v>
      </c>
    </row>
    <row r="371" spans="1:6">
      <c r="B371" s="106">
        <v>463</v>
      </c>
      <c r="D371" s="95" t="s">
        <v>847</v>
      </c>
      <c r="E371" s="107" t="s">
        <v>848</v>
      </c>
    </row>
    <row r="372" spans="1:6" ht="36">
      <c r="B372" s="106">
        <v>464</v>
      </c>
      <c r="D372" s="95" t="s">
        <v>849</v>
      </c>
      <c r="E372" s="107" t="s">
        <v>850</v>
      </c>
    </row>
    <row r="373" spans="1:6">
      <c r="B373" s="106">
        <v>465</v>
      </c>
      <c r="D373" s="95" t="s">
        <v>851</v>
      </c>
      <c r="E373" s="107" t="s">
        <v>852</v>
      </c>
    </row>
    <row r="374" spans="1:6">
      <c r="A374" s="97"/>
      <c r="B374" s="106">
        <v>466</v>
      </c>
      <c r="C374" s="105" t="s">
        <v>158</v>
      </c>
      <c r="D374" s="96" t="s">
        <v>853</v>
      </c>
      <c r="E374" s="96" t="s">
        <v>854</v>
      </c>
      <c r="F374" s="98"/>
    </row>
    <row r="375" spans="1:6">
      <c r="A375" s="97"/>
      <c r="B375" s="106">
        <v>467</v>
      </c>
      <c r="C375" s="105" t="s">
        <v>158</v>
      </c>
      <c r="D375" s="96" t="s">
        <v>855</v>
      </c>
      <c r="E375" s="96" t="s">
        <v>856</v>
      </c>
      <c r="F375" s="98"/>
    </row>
    <row r="376" spans="1:6" ht="12.75">
      <c r="B376" s="106">
        <v>468</v>
      </c>
      <c r="D376" s="95" t="s">
        <v>857</v>
      </c>
      <c r="E376" s="111" t="s">
        <v>858</v>
      </c>
    </row>
    <row r="377" spans="1:6">
      <c r="B377" s="106">
        <v>469</v>
      </c>
      <c r="D377" s="95" t="s">
        <v>859</v>
      </c>
      <c r="E377" s="107" t="s">
        <v>860</v>
      </c>
    </row>
    <row r="378" spans="1:6">
      <c r="B378" s="106">
        <v>470</v>
      </c>
      <c r="D378" s="95" t="s">
        <v>861</v>
      </c>
      <c r="E378" s="107" t="s">
        <v>862</v>
      </c>
    </row>
    <row r="379" spans="1:6" ht="24">
      <c r="B379" s="106">
        <v>471</v>
      </c>
      <c r="D379" s="95" t="s">
        <v>863</v>
      </c>
      <c r="E379" s="107" t="s">
        <v>864</v>
      </c>
    </row>
    <row r="380" spans="1:6">
      <c r="B380" s="106">
        <v>472</v>
      </c>
      <c r="D380" s="95" t="s">
        <v>865</v>
      </c>
      <c r="E380" s="107" t="s">
        <v>866</v>
      </c>
    </row>
    <row r="381" spans="1:6" ht="24">
      <c r="B381" s="106">
        <v>473</v>
      </c>
      <c r="D381" s="95" t="s">
        <v>867</v>
      </c>
      <c r="E381" s="107" t="s">
        <v>868</v>
      </c>
    </row>
    <row r="382" spans="1:6">
      <c r="B382" s="106">
        <v>474</v>
      </c>
      <c r="D382" s="95" t="s">
        <v>869</v>
      </c>
      <c r="E382" s="107" t="s">
        <v>870</v>
      </c>
    </row>
    <row r="383" spans="1:6">
      <c r="B383" s="106">
        <v>475</v>
      </c>
      <c r="D383" s="95" t="s">
        <v>871</v>
      </c>
      <c r="E383" s="107" t="s">
        <v>872</v>
      </c>
    </row>
    <row r="384" spans="1:6">
      <c r="B384" s="106">
        <v>476</v>
      </c>
      <c r="D384" s="95" t="s">
        <v>873</v>
      </c>
      <c r="E384" s="107" t="s">
        <v>874</v>
      </c>
    </row>
    <row r="385" spans="2:5">
      <c r="B385" s="106">
        <v>477</v>
      </c>
      <c r="D385" s="95" t="s">
        <v>875</v>
      </c>
      <c r="E385" s="107" t="s">
        <v>876</v>
      </c>
    </row>
    <row r="386" spans="2:5">
      <c r="B386" s="106">
        <v>478</v>
      </c>
      <c r="D386" s="95" t="s">
        <v>877</v>
      </c>
      <c r="E386" s="107" t="s">
        <v>878</v>
      </c>
    </row>
    <row r="387" spans="2:5">
      <c r="B387" s="106">
        <v>479</v>
      </c>
      <c r="D387" s="95" t="s">
        <v>879</v>
      </c>
      <c r="E387" s="107" t="s">
        <v>880</v>
      </c>
    </row>
    <row r="388" spans="2:5">
      <c r="B388" s="106">
        <v>480</v>
      </c>
      <c r="D388" s="95" t="s">
        <v>881</v>
      </c>
      <c r="E388" s="107" t="s">
        <v>881</v>
      </c>
    </row>
    <row r="389" spans="2:5">
      <c r="B389" s="106">
        <v>481</v>
      </c>
      <c r="D389" s="95" t="s">
        <v>882</v>
      </c>
      <c r="E389" s="107" t="s">
        <v>883</v>
      </c>
    </row>
    <row r="390" spans="2:5" ht="24">
      <c r="B390" s="106">
        <v>482</v>
      </c>
      <c r="D390" s="95" t="s">
        <v>884</v>
      </c>
      <c r="E390" s="107" t="s">
        <v>885</v>
      </c>
    </row>
    <row r="391" spans="2:5">
      <c r="B391" s="106">
        <v>483</v>
      </c>
      <c r="D391" s="95" t="s">
        <v>886</v>
      </c>
      <c r="E391" s="107" t="s">
        <v>886</v>
      </c>
    </row>
    <row r="392" spans="2:5">
      <c r="B392" s="106">
        <v>484</v>
      </c>
      <c r="D392" s="95" t="s">
        <v>887</v>
      </c>
    </row>
    <row r="393" spans="2:5">
      <c r="B393" s="106">
        <v>485</v>
      </c>
      <c r="D393" s="95" t="s">
        <v>888</v>
      </c>
      <c r="E393" s="107" t="s">
        <v>889</v>
      </c>
    </row>
    <row r="394" spans="2:5">
      <c r="B394" s="106">
        <v>486</v>
      </c>
      <c r="D394" s="95" t="s">
        <v>890</v>
      </c>
      <c r="E394" s="107" t="s">
        <v>891</v>
      </c>
    </row>
    <row r="395" spans="2:5">
      <c r="B395" s="106">
        <v>487</v>
      </c>
      <c r="D395" s="95" t="s">
        <v>892</v>
      </c>
      <c r="E395" s="107" t="s">
        <v>893</v>
      </c>
    </row>
    <row r="396" spans="2:5">
      <c r="B396" s="106">
        <v>488</v>
      </c>
      <c r="D396" s="95" t="s">
        <v>894</v>
      </c>
      <c r="E396" s="107" t="s">
        <v>891</v>
      </c>
    </row>
    <row r="397" spans="2:5">
      <c r="B397" s="106">
        <v>489</v>
      </c>
      <c r="D397" s="95" t="s">
        <v>895</v>
      </c>
      <c r="E397" s="107" t="s">
        <v>896</v>
      </c>
    </row>
    <row r="398" spans="2:5">
      <c r="B398" s="106">
        <v>490</v>
      </c>
      <c r="D398" s="95" t="s">
        <v>897</v>
      </c>
      <c r="E398" s="107" t="s">
        <v>898</v>
      </c>
    </row>
    <row r="399" spans="2:5">
      <c r="B399" s="106">
        <v>491</v>
      </c>
      <c r="D399" s="95" t="s">
        <v>899</v>
      </c>
      <c r="E399" s="107" t="s">
        <v>900</v>
      </c>
    </row>
    <row r="400" spans="2:5">
      <c r="B400" s="106">
        <v>492</v>
      </c>
      <c r="D400" s="95" t="s">
        <v>901</v>
      </c>
      <c r="E400" s="107" t="s">
        <v>902</v>
      </c>
    </row>
    <row r="401" spans="1:6">
      <c r="B401" s="106">
        <v>493</v>
      </c>
      <c r="D401" s="95" t="s">
        <v>903</v>
      </c>
    </row>
    <row r="402" spans="1:6">
      <c r="B402" s="106">
        <v>494</v>
      </c>
      <c r="D402" s="95" t="s">
        <v>904</v>
      </c>
    </row>
    <row r="403" spans="1:6">
      <c r="B403" s="106">
        <v>495</v>
      </c>
      <c r="D403" s="95" t="s">
        <v>905</v>
      </c>
      <c r="E403" s="107" t="s">
        <v>906</v>
      </c>
    </row>
    <row r="404" spans="1:6">
      <c r="B404" s="106">
        <v>496</v>
      </c>
      <c r="D404" s="95" t="s">
        <v>907</v>
      </c>
      <c r="E404" s="107" t="s">
        <v>908</v>
      </c>
    </row>
    <row r="405" spans="1:6">
      <c r="B405" s="106">
        <v>497</v>
      </c>
      <c r="D405" s="95" t="s">
        <v>909</v>
      </c>
      <c r="E405" s="107" t="s">
        <v>910</v>
      </c>
    </row>
    <row r="406" spans="1:6">
      <c r="B406" s="106">
        <v>498</v>
      </c>
      <c r="D406" s="95" t="s">
        <v>911</v>
      </c>
      <c r="E406" s="107" t="s">
        <v>912</v>
      </c>
    </row>
    <row r="407" spans="1:6">
      <c r="B407" s="106">
        <v>499</v>
      </c>
      <c r="D407" s="95" t="s">
        <v>913</v>
      </c>
      <c r="E407" s="107" t="s">
        <v>910</v>
      </c>
    </row>
    <row r="408" spans="1:6" ht="25.5">
      <c r="A408" s="101"/>
      <c r="B408" s="106">
        <v>500</v>
      </c>
      <c r="C408" s="101"/>
      <c r="D408" s="101" t="s">
        <v>914</v>
      </c>
      <c r="E408" s="101" t="s">
        <v>915</v>
      </c>
      <c r="F408" s="102"/>
    </row>
    <row r="409" spans="1:6">
      <c r="B409" s="106">
        <v>501</v>
      </c>
      <c r="D409" s="95" t="s">
        <v>916</v>
      </c>
      <c r="E409" s="107" t="s">
        <v>916</v>
      </c>
    </row>
    <row r="410" spans="1:6">
      <c r="B410" s="106">
        <v>502</v>
      </c>
      <c r="D410" s="95" t="s">
        <v>917</v>
      </c>
      <c r="E410" s="107" t="s">
        <v>918</v>
      </c>
    </row>
    <row r="411" spans="1:6">
      <c r="B411" s="106">
        <v>503</v>
      </c>
      <c r="D411" s="95" t="s">
        <v>919</v>
      </c>
      <c r="E411" s="107" t="s">
        <v>920</v>
      </c>
    </row>
    <row r="412" spans="1:6">
      <c r="B412" s="106">
        <v>504</v>
      </c>
      <c r="D412" s="95" t="s">
        <v>921</v>
      </c>
      <c r="E412" s="107" t="s">
        <v>922</v>
      </c>
    </row>
    <row r="413" spans="1:6">
      <c r="B413" s="106">
        <v>505</v>
      </c>
      <c r="D413" s="95" t="s">
        <v>923</v>
      </c>
      <c r="E413" s="107" t="s">
        <v>924</v>
      </c>
    </row>
    <row r="414" spans="1:6">
      <c r="B414" s="106">
        <v>506</v>
      </c>
      <c r="D414" s="95" t="s">
        <v>925</v>
      </c>
      <c r="E414" s="107" t="s">
        <v>926</v>
      </c>
    </row>
    <row r="415" spans="1:6">
      <c r="B415" s="106">
        <v>507</v>
      </c>
      <c r="D415" s="95" t="s">
        <v>927</v>
      </c>
      <c r="E415" s="107" t="s">
        <v>928</v>
      </c>
    </row>
    <row r="416" spans="1:6">
      <c r="B416" s="106">
        <v>508</v>
      </c>
      <c r="D416" s="95" t="s">
        <v>929</v>
      </c>
      <c r="E416" s="107" t="s">
        <v>930</v>
      </c>
    </row>
    <row r="417" spans="1:6" ht="24">
      <c r="B417" s="106">
        <v>509</v>
      </c>
      <c r="D417" s="95" t="s">
        <v>931</v>
      </c>
      <c r="E417" s="107" t="s">
        <v>932</v>
      </c>
    </row>
    <row r="418" spans="1:6">
      <c r="B418" s="106">
        <v>510</v>
      </c>
      <c r="D418" s="95" t="s">
        <v>933</v>
      </c>
      <c r="E418" s="107" t="s">
        <v>928</v>
      </c>
    </row>
    <row r="419" spans="1:6">
      <c r="B419" s="106">
        <v>511</v>
      </c>
      <c r="D419" s="95" t="s">
        <v>934</v>
      </c>
      <c r="E419" s="107" t="s">
        <v>935</v>
      </c>
    </row>
    <row r="420" spans="1:6">
      <c r="B420" s="106">
        <v>512</v>
      </c>
      <c r="D420" s="95" t="s">
        <v>936</v>
      </c>
      <c r="E420" s="107" t="s">
        <v>937</v>
      </c>
    </row>
    <row r="421" spans="1:6">
      <c r="B421" s="106">
        <v>513</v>
      </c>
      <c r="D421" s="95" t="s">
        <v>938</v>
      </c>
      <c r="E421" s="107" t="s">
        <v>939</v>
      </c>
    </row>
    <row r="422" spans="1:6" s="101" customFormat="1" ht="12.75">
      <c r="A422" s="94"/>
      <c r="B422" s="106">
        <v>514</v>
      </c>
      <c r="C422" s="103"/>
      <c r="D422" s="95" t="s">
        <v>940</v>
      </c>
      <c r="E422" s="107" t="s">
        <v>941</v>
      </c>
      <c r="F422" s="94"/>
    </row>
    <row r="423" spans="1:6" s="101" customFormat="1" ht="12.75">
      <c r="A423" s="94"/>
      <c r="B423" s="106">
        <v>515</v>
      </c>
      <c r="C423" s="103"/>
      <c r="D423" s="95" t="s">
        <v>942</v>
      </c>
      <c r="E423" s="107" t="s">
        <v>943</v>
      </c>
      <c r="F423" s="94"/>
    </row>
    <row r="424" spans="1:6" s="97" customFormat="1">
      <c r="A424" s="94"/>
      <c r="B424" s="106">
        <v>516</v>
      </c>
      <c r="C424" s="103"/>
      <c r="D424" s="95" t="s">
        <v>944</v>
      </c>
      <c r="E424" s="107" t="s">
        <v>926</v>
      </c>
      <c r="F424" s="94"/>
    </row>
    <row r="425" spans="1:6" s="97" customFormat="1" ht="24">
      <c r="A425" s="94"/>
      <c r="B425" s="106">
        <v>517</v>
      </c>
      <c r="C425" s="103"/>
      <c r="D425" s="95" t="s">
        <v>945</v>
      </c>
      <c r="E425" s="107" t="s">
        <v>946</v>
      </c>
      <c r="F425" s="94"/>
    </row>
    <row r="426" spans="1:6" s="97" customFormat="1" ht="36">
      <c r="A426" s="94"/>
      <c r="B426" s="106">
        <v>518</v>
      </c>
      <c r="C426" s="103"/>
      <c r="D426" s="95" t="s">
        <v>947</v>
      </c>
      <c r="E426" s="107" t="s">
        <v>948</v>
      </c>
      <c r="F426" s="94"/>
    </row>
    <row r="427" spans="1:6" s="97" customFormat="1">
      <c r="A427" s="94"/>
      <c r="B427" s="106">
        <v>519</v>
      </c>
      <c r="C427" s="103"/>
      <c r="D427" s="95" t="s">
        <v>949</v>
      </c>
      <c r="E427" s="107" t="s">
        <v>950</v>
      </c>
      <c r="F427" s="94"/>
    </row>
    <row r="428" spans="1:6" s="97" customFormat="1" ht="36">
      <c r="A428" s="94"/>
      <c r="B428" s="106">
        <v>520</v>
      </c>
      <c r="C428" s="103"/>
      <c r="D428" s="95" t="s">
        <v>951</v>
      </c>
      <c r="E428" s="107" t="s">
        <v>952</v>
      </c>
      <c r="F428" s="94"/>
    </row>
    <row r="429" spans="1:6" s="97" customFormat="1">
      <c r="A429" s="94"/>
      <c r="B429" s="106">
        <v>521</v>
      </c>
      <c r="C429" s="103"/>
      <c r="D429" s="95" t="s">
        <v>953</v>
      </c>
      <c r="E429" s="107" t="s">
        <v>954</v>
      </c>
      <c r="F429" s="94"/>
    </row>
    <row r="430" spans="1:6" s="97" customFormat="1">
      <c r="A430" s="94"/>
      <c r="B430" s="106">
        <v>522</v>
      </c>
      <c r="C430" s="103"/>
      <c r="D430" s="95" t="s">
        <v>955</v>
      </c>
      <c r="E430" s="107" t="s">
        <v>956</v>
      </c>
      <c r="F430" s="94"/>
    </row>
    <row r="431" spans="1:6" s="97" customFormat="1">
      <c r="A431" s="94"/>
      <c r="B431" s="106">
        <v>523</v>
      </c>
      <c r="C431" s="103"/>
      <c r="D431" s="95" t="s">
        <v>957</v>
      </c>
      <c r="E431" s="107" t="s">
        <v>958</v>
      </c>
      <c r="F431" s="94"/>
    </row>
    <row r="432" spans="1:6" s="97" customFormat="1">
      <c r="A432" s="94"/>
      <c r="B432" s="106">
        <v>524</v>
      </c>
      <c r="C432" s="103"/>
      <c r="D432" s="95" t="s">
        <v>959</v>
      </c>
      <c r="E432" s="107" t="s">
        <v>960</v>
      </c>
      <c r="F432" s="94"/>
    </row>
    <row r="433" spans="1:6" s="97" customFormat="1">
      <c r="A433" s="94"/>
      <c r="B433" s="106">
        <v>525</v>
      </c>
      <c r="C433" s="103"/>
      <c r="D433" s="95" t="s">
        <v>961</v>
      </c>
      <c r="E433" s="107" t="s">
        <v>962</v>
      </c>
      <c r="F433" s="94"/>
    </row>
    <row r="434" spans="1:6" s="97" customFormat="1">
      <c r="A434" s="94"/>
      <c r="B434" s="106">
        <v>526</v>
      </c>
      <c r="C434" s="103"/>
      <c r="D434" s="95" t="s">
        <v>963</v>
      </c>
      <c r="E434" s="107" t="s">
        <v>964</v>
      </c>
      <c r="F434" s="94"/>
    </row>
    <row r="435" spans="1:6">
      <c r="B435" s="106">
        <v>527</v>
      </c>
      <c r="D435" s="95" t="s">
        <v>965</v>
      </c>
      <c r="E435" s="107" t="s">
        <v>966</v>
      </c>
    </row>
  </sheetData>
  <sortState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121"/>
  <sheetViews>
    <sheetView topLeftCell="A94" zoomScale="85" zoomScaleNormal="85" workbookViewId="0">
      <selection activeCell="H177" sqref="H177"/>
    </sheetView>
  </sheetViews>
  <sheetFormatPr defaultColWidth="9.75" defaultRowHeight="14.25"/>
  <cols>
    <col min="1" max="1" width="9.75" style="75"/>
    <col min="2" max="2" width="9.75" style="76"/>
    <col min="3" max="4" width="9.75" style="77"/>
    <col min="5" max="5" width="9.75" style="76"/>
    <col min="6" max="16384" width="9.75" style="74"/>
  </cols>
  <sheetData>
    <row r="1" spans="1:8">
      <c r="A1" s="72" t="s">
        <v>967</v>
      </c>
      <c r="B1" s="72" t="s">
        <v>968</v>
      </c>
      <c r="C1" s="73" t="s">
        <v>969</v>
      </c>
      <c r="D1" s="73" t="s">
        <v>970</v>
      </c>
      <c r="E1" s="72" t="s">
        <v>971</v>
      </c>
      <c r="F1" s="72" t="s">
        <v>972</v>
      </c>
      <c r="G1" s="72" t="s">
        <v>973</v>
      </c>
      <c r="H1" s="72" t="s">
        <v>974</v>
      </c>
    </row>
    <row r="2" spans="1:8">
      <c r="A2" s="75" t="s">
        <v>975</v>
      </c>
      <c r="B2" s="76" t="s">
        <v>976</v>
      </c>
      <c r="C2" s="77" t="s">
        <v>977</v>
      </c>
      <c r="D2" s="77">
        <v>43375</v>
      </c>
      <c r="E2" s="78">
        <v>43376</v>
      </c>
      <c r="F2" s="77">
        <v>43375</v>
      </c>
      <c r="G2" s="77">
        <v>43379</v>
      </c>
      <c r="H2" s="74">
        <v>1</v>
      </c>
    </row>
    <row r="3" spans="1:8">
      <c r="A3" s="75" t="s">
        <v>978</v>
      </c>
      <c r="B3" s="76" t="s">
        <v>979</v>
      </c>
      <c r="C3" s="77" t="s">
        <v>977</v>
      </c>
      <c r="D3" s="77">
        <v>43379</v>
      </c>
      <c r="E3" s="78">
        <v>43385</v>
      </c>
      <c r="F3" s="77">
        <v>43375</v>
      </c>
      <c r="G3" s="77">
        <v>43379</v>
      </c>
      <c r="H3" s="74">
        <v>0</v>
      </c>
    </row>
    <row r="4" spans="1:8">
      <c r="A4" s="75" t="s">
        <v>978</v>
      </c>
      <c r="B4" s="76" t="s">
        <v>979</v>
      </c>
      <c r="C4" s="77" t="s">
        <v>980</v>
      </c>
      <c r="D4" s="77">
        <v>43379</v>
      </c>
      <c r="E4" s="78">
        <v>43385</v>
      </c>
      <c r="F4" s="77">
        <v>43375</v>
      </c>
      <c r="G4" s="77">
        <v>43379</v>
      </c>
      <c r="H4" s="74">
        <v>0</v>
      </c>
    </row>
    <row r="5" spans="1:8">
      <c r="A5" s="75" t="s">
        <v>978</v>
      </c>
      <c r="B5" s="76" t="s">
        <v>979</v>
      </c>
      <c r="C5" s="77" t="s">
        <v>981</v>
      </c>
      <c r="D5" s="77">
        <v>43379</v>
      </c>
      <c r="E5" s="78">
        <v>43385</v>
      </c>
      <c r="F5" s="77">
        <v>43375</v>
      </c>
      <c r="G5" s="77">
        <v>43379</v>
      </c>
      <c r="H5" s="74">
        <v>0</v>
      </c>
    </row>
    <row r="6" spans="1:8">
      <c r="A6" s="75" t="s">
        <v>978</v>
      </c>
      <c r="B6" s="76" t="s">
        <v>979</v>
      </c>
      <c r="C6" s="77" t="s">
        <v>977</v>
      </c>
      <c r="D6" s="77">
        <v>43379</v>
      </c>
      <c r="E6" s="78">
        <v>43385</v>
      </c>
      <c r="F6" s="77">
        <v>43380</v>
      </c>
      <c r="G6" s="77">
        <v>43386</v>
      </c>
      <c r="H6" s="74">
        <v>1.3333333333333333</v>
      </c>
    </row>
    <row r="7" spans="1:8">
      <c r="A7" s="75" t="s">
        <v>978</v>
      </c>
      <c r="B7" s="76" t="s">
        <v>979</v>
      </c>
      <c r="C7" s="77" t="s">
        <v>980</v>
      </c>
      <c r="D7" s="77">
        <v>43379</v>
      </c>
      <c r="E7" s="78">
        <v>43385</v>
      </c>
      <c r="F7" s="77">
        <v>43380</v>
      </c>
      <c r="G7" s="77">
        <v>43386</v>
      </c>
      <c r="H7" s="74">
        <v>1.3333333333333333</v>
      </c>
    </row>
    <row r="8" spans="1:8">
      <c r="A8" s="75" t="s">
        <v>978</v>
      </c>
      <c r="B8" s="76" t="s">
        <v>979</v>
      </c>
      <c r="C8" s="77" t="s">
        <v>981</v>
      </c>
      <c r="D8" s="77">
        <v>43379</v>
      </c>
      <c r="E8" s="78">
        <v>43385</v>
      </c>
      <c r="F8" s="77">
        <v>43380</v>
      </c>
      <c r="G8" s="77">
        <v>43386</v>
      </c>
      <c r="H8" s="74">
        <v>1.3333333333333333</v>
      </c>
    </row>
    <row r="9" spans="1:8">
      <c r="A9" s="75" t="s">
        <v>982</v>
      </c>
      <c r="B9" s="76" t="s">
        <v>983</v>
      </c>
      <c r="C9" s="77" t="s">
        <v>977</v>
      </c>
      <c r="D9" s="77">
        <v>43397</v>
      </c>
      <c r="E9" s="78">
        <v>43397</v>
      </c>
      <c r="F9" s="77">
        <v>43394</v>
      </c>
      <c r="G9" s="77">
        <v>43400</v>
      </c>
      <c r="H9" s="74">
        <v>1</v>
      </c>
    </row>
    <row r="10" spans="1:8">
      <c r="A10" s="75" t="s">
        <v>984</v>
      </c>
      <c r="B10" s="76" t="s">
        <v>985</v>
      </c>
      <c r="C10" s="77" t="s">
        <v>980</v>
      </c>
      <c r="D10" s="77">
        <v>43400</v>
      </c>
      <c r="E10" s="78">
        <v>43404</v>
      </c>
      <c r="F10" s="77">
        <v>43394</v>
      </c>
      <c r="G10" s="77">
        <v>43400</v>
      </c>
      <c r="H10" s="74">
        <v>0</v>
      </c>
    </row>
    <row r="11" spans="1:8">
      <c r="A11" s="75" t="s">
        <v>984</v>
      </c>
      <c r="B11" s="76" t="s">
        <v>985</v>
      </c>
      <c r="C11" s="77" t="s">
        <v>980</v>
      </c>
      <c r="D11" s="77">
        <v>43400</v>
      </c>
      <c r="E11" s="78">
        <v>43404</v>
      </c>
      <c r="F11" s="77">
        <v>43401</v>
      </c>
      <c r="G11" s="77">
        <v>43407</v>
      </c>
      <c r="H11" s="74">
        <v>3</v>
      </c>
    </row>
    <row r="12" spans="1:8">
      <c r="A12" s="75" t="s">
        <v>986</v>
      </c>
      <c r="B12" s="76" t="s">
        <v>987</v>
      </c>
      <c r="C12" s="77" t="s">
        <v>980</v>
      </c>
      <c r="D12" s="77">
        <v>43432</v>
      </c>
      <c r="E12" s="78">
        <v>43432</v>
      </c>
      <c r="F12" s="77">
        <v>43429</v>
      </c>
      <c r="G12" s="77">
        <v>43435</v>
      </c>
      <c r="H12" s="74">
        <v>1</v>
      </c>
    </row>
    <row r="13" spans="1:8">
      <c r="A13" s="75" t="s">
        <v>988</v>
      </c>
      <c r="B13" s="76" t="s">
        <v>989</v>
      </c>
      <c r="C13" s="77" t="s">
        <v>990</v>
      </c>
      <c r="D13" s="77">
        <v>43468</v>
      </c>
      <c r="E13" s="78">
        <v>43493</v>
      </c>
      <c r="F13" s="77">
        <v>43464</v>
      </c>
      <c r="G13" s="77">
        <v>43470</v>
      </c>
      <c r="H13" s="74">
        <v>2</v>
      </c>
    </row>
    <row r="14" spans="1:8">
      <c r="A14" s="75" t="s">
        <v>988</v>
      </c>
      <c r="B14" s="76" t="s">
        <v>989</v>
      </c>
      <c r="C14" s="77" t="s">
        <v>990</v>
      </c>
      <c r="D14" s="77">
        <v>43468</v>
      </c>
      <c r="E14" s="78">
        <v>43493</v>
      </c>
      <c r="F14" s="77">
        <v>43471</v>
      </c>
      <c r="G14" s="77">
        <v>43477</v>
      </c>
      <c r="H14" s="74">
        <v>5</v>
      </c>
    </row>
    <row r="15" spans="1:8">
      <c r="A15" s="75" t="s">
        <v>988</v>
      </c>
      <c r="B15" s="76" t="s">
        <v>989</v>
      </c>
      <c r="C15" s="77" t="s">
        <v>990</v>
      </c>
      <c r="D15" s="77">
        <v>43468</v>
      </c>
      <c r="E15" s="78">
        <v>43493</v>
      </c>
      <c r="F15" s="77">
        <v>43478</v>
      </c>
      <c r="G15" s="77">
        <v>43484</v>
      </c>
      <c r="H15" s="74">
        <v>5</v>
      </c>
    </row>
    <row r="16" spans="1:8">
      <c r="A16" s="75" t="s">
        <v>988</v>
      </c>
      <c r="B16" s="76" t="s">
        <v>989</v>
      </c>
      <c r="C16" s="77" t="s">
        <v>990</v>
      </c>
      <c r="D16" s="77">
        <v>43468</v>
      </c>
      <c r="E16" s="78">
        <v>43493</v>
      </c>
      <c r="F16" s="77">
        <v>43485</v>
      </c>
      <c r="G16" s="77">
        <v>43491</v>
      </c>
      <c r="H16" s="74">
        <v>5</v>
      </c>
    </row>
    <row r="17" spans="1:8">
      <c r="A17" s="75" t="s">
        <v>988</v>
      </c>
      <c r="B17" s="76" t="s">
        <v>989</v>
      </c>
      <c r="C17" s="77" t="s">
        <v>990</v>
      </c>
      <c r="D17" s="77">
        <v>43468</v>
      </c>
      <c r="E17" s="78">
        <v>43493</v>
      </c>
      <c r="F17" s="77">
        <v>43492</v>
      </c>
      <c r="G17" s="77">
        <v>43498</v>
      </c>
      <c r="H17" s="74">
        <v>1</v>
      </c>
    </row>
    <row r="18" spans="1:8">
      <c r="A18" s="75" t="s">
        <v>991</v>
      </c>
      <c r="B18" s="76" t="s">
        <v>992</v>
      </c>
      <c r="C18" s="77" t="s">
        <v>990</v>
      </c>
      <c r="D18" s="77">
        <v>43397</v>
      </c>
      <c r="E18" s="78">
        <v>43397</v>
      </c>
      <c r="F18" s="77">
        <v>43394</v>
      </c>
      <c r="G18" s="77">
        <v>43400</v>
      </c>
      <c r="H18" s="74">
        <v>1</v>
      </c>
    </row>
    <row r="19" spans="1:8">
      <c r="A19" s="75" t="s">
        <v>993</v>
      </c>
      <c r="B19" s="76" t="s">
        <v>994</v>
      </c>
      <c r="C19" s="77" t="s">
        <v>977</v>
      </c>
      <c r="D19" s="77">
        <v>43501</v>
      </c>
      <c r="E19" s="78">
        <v>43505</v>
      </c>
      <c r="F19" s="77">
        <v>43499</v>
      </c>
      <c r="G19" s="77">
        <v>43505</v>
      </c>
      <c r="H19" s="74">
        <v>2</v>
      </c>
    </row>
    <row r="20" spans="1:8">
      <c r="A20" s="75" t="s">
        <v>995</v>
      </c>
      <c r="B20" s="76" t="s">
        <v>996</v>
      </c>
      <c r="C20" s="77" t="s">
        <v>977</v>
      </c>
      <c r="D20" s="77">
        <v>43508</v>
      </c>
      <c r="E20" s="78">
        <v>43526</v>
      </c>
      <c r="F20" s="77">
        <v>43506</v>
      </c>
      <c r="G20" s="77">
        <v>43512</v>
      </c>
      <c r="H20" s="74">
        <v>4</v>
      </c>
    </row>
    <row r="21" spans="1:8">
      <c r="A21" s="75" t="s">
        <v>995</v>
      </c>
      <c r="B21" s="76" t="s">
        <v>996</v>
      </c>
      <c r="C21" s="77" t="s">
        <v>977</v>
      </c>
      <c r="D21" s="77">
        <v>43508</v>
      </c>
      <c r="E21" s="78">
        <v>43526</v>
      </c>
      <c r="F21" s="77">
        <v>43513</v>
      </c>
      <c r="G21" s="77">
        <v>43519</v>
      </c>
      <c r="H21" s="74">
        <v>5</v>
      </c>
    </row>
    <row r="22" spans="1:8">
      <c r="A22" s="75" t="s">
        <v>995</v>
      </c>
      <c r="B22" s="76" t="s">
        <v>996</v>
      </c>
      <c r="C22" s="77" t="s">
        <v>977</v>
      </c>
      <c r="D22" s="77">
        <v>43508</v>
      </c>
      <c r="E22" s="78">
        <v>43526</v>
      </c>
      <c r="F22" s="77">
        <v>43520</v>
      </c>
      <c r="G22" s="77">
        <v>43526</v>
      </c>
      <c r="H22" s="74">
        <v>4</v>
      </c>
    </row>
    <row r="23" spans="1:8">
      <c r="A23" s="75" t="s">
        <v>997</v>
      </c>
      <c r="B23" s="76" t="s">
        <v>998</v>
      </c>
      <c r="C23" s="77" t="s">
        <v>977</v>
      </c>
      <c r="D23" s="77">
        <v>43526</v>
      </c>
      <c r="E23" s="78">
        <v>43526</v>
      </c>
      <c r="F23" s="77">
        <v>43520</v>
      </c>
      <c r="G23" s="77">
        <v>43526</v>
      </c>
      <c r="H23" s="74">
        <v>0</v>
      </c>
    </row>
    <row r="24" spans="1:8">
      <c r="A24" s="75" t="s">
        <v>999</v>
      </c>
      <c r="B24" s="76" t="s">
        <v>1000</v>
      </c>
      <c r="C24" s="77" t="s">
        <v>977</v>
      </c>
      <c r="D24" s="77">
        <v>43526</v>
      </c>
      <c r="E24" s="78">
        <v>43526</v>
      </c>
      <c r="F24" s="77">
        <v>43520</v>
      </c>
      <c r="G24" s="77">
        <v>43526</v>
      </c>
      <c r="H24" s="74">
        <v>0</v>
      </c>
    </row>
    <row r="25" spans="1:8">
      <c r="A25" s="75" t="s">
        <v>1001</v>
      </c>
      <c r="B25" s="76" t="s">
        <v>1002</v>
      </c>
      <c r="C25" s="77" t="s">
        <v>1003</v>
      </c>
      <c r="D25" s="77">
        <v>43379</v>
      </c>
      <c r="E25" s="78">
        <v>43397</v>
      </c>
      <c r="F25" s="77">
        <v>43375</v>
      </c>
      <c r="G25" s="77">
        <v>43379</v>
      </c>
      <c r="H25" s="74">
        <v>0</v>
      </c>
    </row>
    <row r="26" spans="1:8">
      <c r="A26" s="75" t="s">
        <v>1001</v>
      </c>
      <c r="B26" s="76" t="s">
        <v>1002</v>
      </c>
      <c r="C26" s="77" t="s">
        <v>1004</v>
      </c>
      <c r="D26" s="77">
        <v>43379</v>
      </c>
      <c r="E26" s="78">
        <v>43397</v>
      </c>
      <c r="F26" s="77">
        <v>43375</v>
      </c>
      <c r="G26" s="77">
        <v>43379</v>
      </c>
      <c r="H26" s="74">
        <v>0</v>
      </c>
    </row>
    <row r="27" spans="1:8">
      <c r="A27" s="75" t="s">
        <v>1001</v>
      </c>
      <c r="B27" s="76" t="s">
        <v>1002</v>
      </c>
      <c r="C27" s="77" t="s">
        <v>1005</v>
      </c>
      <c r="D27" s="77">
        <v>43379</v>
      </c>
      <c r="E27" s="78">
        <v>43397</v>
      </c>
      <c r="F27" s="77">
        <v>43375</v>
      </c>
      <c r="G27" s="77">
        <v>43379</v>
      </c>
      <c r="H27" s="74">
        <v>0</v>
      </c>
    </row>
    <row r="28" spans="1:8">
      <c r="A28" s="75" t="s">
        <v>1001</v>
      </c>
      <c r="B28" s="76" t="s">
        <v>1002</v>
      </c>
      <c r="C28" s="77" t="s">
        <v>1003</v>
      </c>
      <c r="D28" s="77">
        <v>43379</v>
      </c>
      <c r="E28" s="78">
        <v>43397</v>
      </c>
      <c r="F28" s="77">
        <v>43380</v>
      </c>
      <c r="G28" s="77">
        <v>43386</v>
      </c>
      <c r="H28" s="74">
        <v>1.3333333333333333</v>
      </c>
    </row>
    <row r="29" spans="1:8">
      <c r="A29" s="75" t="s">
        <v>1001</v>
      </c>
      <c r="B29" s="76" t="s">
        <v>1002</v>
      </c>
      <c r="C29" s="77" t="s">
        <v>1004</v>
      </c>
      <c r="D29" s="77">
        <v>43379</v>
      </c>
      <c r="E29" s="78">
        <v>43397</v>
      </c>
      <c r="F29" s="77">
        <v>43380</v>
      </c>
      <c r="G29" s="77">
        <v>43386</v>
      </c>
      <c r="H29" s="74">
        <v>1.3333333333333333</v>
      </c>
    </row>
    <row r="30" spans="1:8">
      <c r="A30" s="75" t="s">
        <v>1001</v>
      </c>
      <c r="B30" s="76" t="s">
        <v>1002</v>
      </c>
      <c r="C30" s="77" t="s">
        <v>1005</v>
      </c>
      <c r="D30" s="77">
        <v>43379</v>
      </c>
      <c r="E30" s="78">
        <v>43397</v>
      </c>
      <c r="F30" s="77">
        <v>43380</v>
      </c>
      <c r="G30" s="77">
        <v>43386</v>
      </c>
      <c r="H30" s="74">
        <v>1.3333333333333333</v>
      </c>
    </row>
    <row r="31" spans="1:8">
      <c r="A31" s="75" t="s">
        <v>1001</v>
      </c>
      <c r="B31" s="76" t="s">
        <v>1002</v>
      </c>
      <c r="C31" s="77" t="s">
        <v>1003</v>
      </c>
      <c r="D31" s="77">
        <v>43379</v>
      </c>
      <c r="E31" s="78">
        <v>43397</v>
      </c>
      <c r="F31" s="77">
        <v>43387</v>
      </c>
      <c r="G31" s="77">
        <v>43393</v>
      </c>
      <c r="H31" s="74">
        <v>1.6666666666666667</v>
      </c>
    </row>
    <row r="32" spans="1:8">
      <c r="A32" s="75" t="s">
        <v>1001</v>
      </c>
      <c r="B32" s="76" t="s">
        <v>1002</v>
      </c>
      <c r="C32" s="77" t="s">
        <v>1004</v>
      </c>
      <c r="D32" s="77">
        <v>43379</v>
      </c>
      <c r="E32" s="78">
        <v>43397</v>
      </c>
      <c r="F32" s="77">
        <v>43387</v>
      </c>
      <c r="G32" s="77">
        <v>43393</v>
      </c>
      <c r="H32" s="74">
        <v>1.6666666666666667</v>
      </c>
    </row>
    <row r="33" spans="1:8">
      <c r="A33" s="75" t="s">
        <v>1001</v>
      </c>
      <c r="B33" s="76" t="s">
        <v>1002</v>
      </c>
      <c r="C33" s="77" t="s">
        <v>1005</v>
      </c>
      <c r="D33" s="77">
        <v>43379</v>
      </c>
      <c r="E33" s="78">
        <v>43397</v>
      </c>
      <c r="F33" s="77">
        <v>43387</v>
      </c>
      <c r="G33" s="77">
        <v>43393</v>
      </c>
      <c r="H33" s="74">
        <v>1.6666666666666667</v>
      </c>
    </row>
    <row r="34" spans="1:8">
      <c r="A34" s="75" t="s">
        <v>1001</v>
      </c>
      <c r="B34" s="76" t="s">
        <v>1002</v>
      </c>
      <c r="C34" s="77" t="s">
        <v>1003</v>
      </c>
      <c r="D34" s="77">
        <v>43379</v>
      </c>
      <c r="E34" s="78">
        <v>43397</v>
      </c>
      <c r="F34" s="77">
        <v>43394</v>
      </c>
      <c r="G34" s="77">
        <v>43400</v>
      </c>
      <c r="H34" s="74">
        <v>1</v>
      </c>
    </row>
    <row r="35" spans="1:8">
      <c r="A35" s="75" t="s">
        <v>1001</v>
      </c>
      <c r="B35" s="76" t="s">
        <v>1002</v>
      </c>
      <c r="C35" s="77" t="s">
        <v>1004</v>
      </c>
      <c r="D35" s="77">
        <v>43379</v>
      </c>
      <c r="E35" s="78">
        <v>43397</v>
      </c>
      <c r="F35" s="77">
        <v>43394</v>
      </c>
      <c r="G35" s="77">
        <v>43400</v>
      </c>
      <c r="H35" s="74">
        <v>1</v>
      </c>
    </row>
    <row r="36" spans="1:8">
      <c r="A36" s="75" t="s">
        <v>1001</v>
      </c>
      <c r="B36" s="76" t="s">
        <v>1002</v>
      </c>
      <c r="C36" s="77" t="s">
        <v>1005</v>
      </c>
      <c r="D36" s="77">
        <v>43379</v>
      </c>
      <c r="E36" s="78">
        <v>43397</v>
      </c>
      <c r="F36" s="77">
        <v>43394</v>
      </c>
      <c r="G36" s="77">
        <v>43400</v>
      </c>
      <c r="H36" s="74">
        <v>1</v>
      </c>
    </row>
    <row r="37" spans="1:8">
      <c r="A37" s="75" t="s">
        <v>1006</v>
      </c>
      <c r="B37" s="76" t="s">
        <v>1007</v>
      </c>
      <c r="C37" s="77" t="s">
        <v>1004</v>
      </c>
      <c r="D37" s="77">
        <v>43385</v>
      </c>
      <c r="E37" s="78">
        <v>43396</v>
      </c>
      <c r="F37" s="77">
        <v>43380</v>
      </c>
      <c r="G37" s="77">
        <v>43386</v>
      </c>
      <c r="H37" s="74">
        <v>1</v>
      </c>
    </row>
    <row r="38" spans="1:8">
      <c r="A38" s="75" t="s">
        <v>1006</v>
      </c>
      <c r="B38" s="76" t="s">
        <v>1007</v>
      </c>
      <c r="C38" s="77" t="s">
        <v>1004</v>
      </c>
      <c r="D38" s="77">
        <v>43385</v>
      </c>
      <c r="E38" s="78">
        <v>43396</v>
      </c>
      <c r="F38" s="77">
        <v>43387</v>
      </c>
      <c r="G38" s="77">
        <v>43393</v>
      </c>
      <c r="H38" s="74">
        <v>5</v>
      </c>
    </row>
    <row r="39" spans="1:8">
      <c r="A39" s="75" t="s">
        <v>1006</v>
      </c>
      <c r="B39" s="76" t="s">
        <v>1007</v>
      </c>
      <c r="C39" s="77" t="s">
        <v>1004</v>
      </c>
      <c r="D39" s="77">
        <v>43385</v>
      </c>
      <c r="E39" s="78">
        <v>43396</v>
      </c>
      <c r="F39" s="77">
        <v>43394</v>
      </c>
      <c r="G39" s="77">
        <v>43400</v>
      </c>
      <c r="H39" s="74">
        <v>2</v>
      </c>
    </row>
    <row r="40" spans="1:8">
      <c r="A40" s="75" t="s">
        <v>1008</v>
      </c>
      <c r="B40" s="76" t="s">
        <v>1009</v>
      </c>
      <c r="C40" s="77" t="s">
        <v>1004</v>
      </c>
      <c r="D40" s="77">
        <v>43385</v>
      </c>
      <c r="E40" s="78">
        <v>43396</v>
      </c>
      <c r="F40" s="77">
        <v>43380</v>
      </c>
      <c r="G40" s="77">
        <v>43386</v>
      </c>
      <c r="H40" s="74">
        <v>1</v>
      </c>
    </row>
    <row r="41" spans="1:8">
      <c r="A41" s="75" t="s">
        <v>1008</v>
      </c>
      <c r="B41" s="76" t="s">
        <v>1009</v>
      </c>
      <c r="C41" s="77" t="s">
        <v>1004</v>
      </c>
      <c r="D41" s="77">
        <v>43385</v>
      </c>
      <c r="E41" s="78">
        <v>43396</v>
      </c>
      <c r="F41" s="77">
        <v>43387</v>
      </c>
      <c r="G41" s="77">
        <v>43393</v>
      </c>
      <c r="H41" s="74">
        <v>5</v>
      </c>
    </row>
    <row r="42" spans="1:8">
      <c r="A42" s="75" t="s">
        <v>1008</v>
      </c>
      <c r="B42" s="76" t="s">
        <v>1009</v>
      </c>
      <c r="C42" s="77" t="s">
        <v>1004</v>
      </c>
      <c r="D42" s="77">
        <v>43385</v>
      </c>
      <c r="E42" s="78">
        <v>43396</v>
      </c>
      <c r="F42" s="77">
        <v>43394</v>
      </c>
      <c r="G42" s="77">
        <v>43400</v>
      </c>
      <c r="H42" s="74">
        <v>2</v>
      </c>
    </row>
    <row r="43" spans="1:8">
      <c r="A43" s="75" t="s">
        <v>1010</v>
      </c>
      <c r="B43" s="76" t="s">
        <v>1011</v>
      </c>
      <c r="C43" s="77" t="s">
        <v>1012</v>
      </c>
      <c r="D43" s="77">
        <v>43399</v>
      </c>
      <c r="E43" s="78">
        <v>43417</v>
      </c>
      <c r="F43" s="77">
        <v>43394</v>
      </c>
      <c r="G43" s="77">
        <v>43400</v>
      </c>
      <c r="H43" s="74">
        <v>1</v>
      </c>
    </row>
    <row r="44" spans="1:8">
      <c r="A44" s="75" t="s">
        <v>1010</v>
      </c>
      <c r="B44" s="76" t="s">
        <v>1011</v>
      </c>
      <c r="C44" s="77" t="s">
        <v>1012</v>
      </c>
      <c r="D44" s="77">
        <v>43399</v>
      </c>
      <c r="E44" s="78">
        <v>43417</v>
      </c>
      <c r="F44" s="77">
        <v>43401</v>
      </c>
      <c r="G44" s="77">
        <v>43407</v>
      </c>
      <c r="H44" s="74">
        <v>5</v>
      </c>
    </row>
    <row r="45" spans="1:8">
      <c r="A45" s="75" t="s">
        <v>1010</v>
      </c>
      <c r="B45" s="76" t="s">
        <v>1011</v>
      </c>
      <c r="C45" s="77" t="s">
        <v>1012</v>
      </c>
      <c r="D45" s="77">
        <v>43399</v>
      </c>
      <c r="E45" s="78">
        <v>43417</v>
      </c>
      <c r="F45" s="77">
        <v>43408</v>
      </c>
      <c r="G45" s="77">
        <v>43414</v>
      </c>
      <c r="H45" s="74">
        <v>5</v>
      </c>
    </row>
    <row r="46" spans="1:8">
      <c r="A46" s="75" t="s">
        <v>1010</v>
      </c>
      <c r="B46" s="76" t="s">
        <v>1011</v>
      </c>
      <c r="C46" s="77" t="s">
        <v>1012</v>
      </c>
      <c r="D46" s="77">
        <v>43399</v>
      </c>
      <c r="E46" s="78">
        <v>43417</v>
      </c>
      <c r="F46" s="77">
        <v>43415</v>
      </c>
      <c r="G46" s="77">
        <v>43421</v>
      </c>
      <c r="H46" s="74">
        <v>2</v>
      </c>
    </row>
    <row r="47" spans="1:8">
      <c r="A47" s="75" t="s">
        <v>1013</v>
      </c>
      <c r="B47" s="76" t="s">
        <v>1014</v>
      </c>
      <c r="C47" s="77" t="s">
        <v>1015</v>
      </c>
      <c r="D47" s="77">
        <v>43406</v>
      </c>
      <c r="E47" s="78">
        <v>43417</v>
      </c>
      <c r="F47" s="77">
        <v>43401</v>
      </c>
      <c r="G47" s="77">
        <v>43407</v>
      </c>
      <c r="H47" s="74">
        <v>1</v>
      </c>
    </row>
    <row r="48" spans="1:8">
      <c r="A48" s="75" t="s">
        <v>1013</v>
      </c>
      <c r="B48" s="76" t="s">
        <v>1014</v>
      </c>
      <c r="C48" s="77" t="s">
        <v>1015</v>
      </c>
      <c r="D48" s="77">
        <v>43406</v>
      </c>
      <c r="E48" s="78">
        <v>43417</v>
      </c>
      <c r="F48" s="77">
        <v>43408</v>
      </c>
      <c r="G48" s="77">
        <v>43414</v>
      </c>
      <c r="H48" s="74">
        <v>5</v>
      </c>
    </row>
    <row r="49" spans="1:8">
      <c r="A49" s="75" t="s">
        <v>1013</v>
      </c>
      <c r="B49" s="76" t="s">
        <v>1014</v>
      </c>
      <c r="C49" s="77" t="s">
        <v>1015</v>
      </c>
      <c r="D49" s="77">
        <v>43406</v>
      </c>
      <c r="E49" s="78">
        <v>43417</v>
      </c>
      <c r="F49" s="77">
        <v>43415</v>
      </c>
      <c r="G49" s="77">
        <v>43421</v>
      </c>
      <c r="H49" s="74">
        <v>2</v>
      </c>
    </row>
    <row r="50" spans="1:8">
      <c r="A50" s="75" t="s">
        <v>1016</v>
      </c>
      <c r="B50" s="76" t="s">
        <v>1017</v>
      </c>
      <c r="C50" s="77" t="s">
        <v>1018</v>
      </c>
      <c r="D50" s="77">
        <v>43413</v>
      </c>
      <c r="E50" s="78">
        <v>43424</v>
      </c>
      <c r="F50" s="77">
        <v>43408</v>
      </c>
      <c r="G50" s="77">
        <v>43414</v>
      </c>
      <c r="H50" s="74">
        <v>1</v>
      </c>
    </row>
    <row r="51" spans="1:8">
      <c r="A51" s="75" t="s">
        <v>1016</v>
      </c>
      <c r="B51" s="76" t="s">
        <v>1017</v>
      </c>
      <c r="C51" s="77" t="s">
        <v>1018</v>
      </c>
      <c r="D51" s="77">
        <v>43413</v>
      </c>
      <c r="E51" s="78">
        <v>43424</v>
      </c>
      <c r="F51" s="77">
        <v>43415</v>
      </c>
      <c r="G51" s="77">
        <v>43421</v>
      </c>
      <c r="H51" s="74">
        <v>5</v>
      </c>
    </row>
    <row r="52" spans="1:8">
      <c r="A52" s="75" t="s">
        <v>1016</v>
      </c>
      <c r="B52" s="76" t="s">
        <v>1017</v>
      </c>
      <c r="C52" s="77" t="s">
        <v>1018</v>
      </c>
      <c r="D52" s="77">
        <v>43413</v>
      </c>
      <c r="E52" s="78">
        <v>43424</v>
      </c>
      <c r="F52" s="77">
        <v>43422</v>
      </c>
      <c r="G52" s="77">
        <v>43428</v>
      </c>
      <c r="H52" s="74">
        <v>2</v>
      </c>
    </row>
    <row r="53" spans="1:8">
      <c r="A53" s="75" t="s">
        <v>1019</v>
      </c>
      <c r="B53" s="76" t="s">
        <v>1020</v>
      </c>
      <c r="C53" s="77" t="s">
        <v>1021</v>
      </c>
      <c r="D53" s="77">
        <v>43413</v>
      </c>
      <c r="E53" s="78">
        <v>43431</v>
      </c>
      <c r="F53" s="77">
        <v>43408</v>
      </c>
      <c r="G53" s="77">
        <v>43414</v>
      </c>
      <c r="H53" s="74">
        <v>1</v>
      </c>
    </row>
    <row r="54" spans="1:8">
      <c r="A54" s="75" t="s">
        <v>1019</v>
      </c>
      <c r="B54" s="76" t="s">
        <v>1020</v>
      </c>
      <c r="C54" s="77" t="s">
        <v>1021</v>
      </c>
      <c r="D54" s="77">
        <v>43413</v>
      </c>
      <c r="E54" s="78">
        <v>43431</v>
      </c>
      <c r="F54" s="77">
        <v>43415</v>
      </c>
      <c r="G54" s="77">
        <v>43421</v>
      </c>
      <c r="H54" s="74">
        <v>5</v>
      </c>
    </row>
    <row r="55" spans="1:8">
      <c r="A55" s="75" t="s">
        <v>1019</v>
      </c>
      <c r="B55" s="76" t="s">
        <v>1020</v>
      </c>
      <c r="C55" s="77" t="s">
        <v>1021</v>
      </c>
      <c r="D55" s="77">
        <v>43413</v>
      </c>
      <c r="E55" s="78">
        <v>43431</v>
      </c>
      <c r="F55" s="77">
        <v>43422</v>
      </c>
      <c r="G55" s="77">
        <v>43428</v>
      </c>
      <c r="H55" s="74">
        <v>5</v>
      </c>
    </row>
    <row r="56" spans="1:8">
      <c r="A56" s="75" t="s">
        <v>1019</v>
      </c>
      <c r="B56" s="76" t="s">
        <v>1020</v>
      </c>
      <c r="C56" s="77" t="s">
        <v>1021</v>
      </c>
      <c r="D56" s="77">
        <v>43413</v>
      </c>
      <c r="E56" s="78">
        <v>43431</v>
      </c>
      <c r="F56" s="77">
        <v>43429</v>
      </c>
      <c r="G56" s="77">
        <v>43435</v>
      </c>
      <c r="H56" s="74">
        <v>2</v>
      </c>
    </row>
    <row r="57" spans="1:8">
      <c r="A57" s="75" t="s">
        <v>1022</v>
      </c>
      <c r="B57" s="76" t="s">
        <v>1023</v>
      </c>
      <c r="C57" s="77" t="s">
        <v>1021</v>
      </c>
      <c r="D57" s="77">
        <v>43434</v>
      </c>
      <c r="E57" s="78">
        <v>43438</v>
      </c>
      <c r="F57" s="77">
        <v>43429</v>
      </c>
      <c r="G57" s="77">
        <v>43435</v>
      </c>
      <c r="H57" s="74">
        <v>1</v>
      </c>
    </row>
    <row r="58" spans="1:8">
      <c r="A58" s="75" t="s">
        <v>1022</v>
      </c>
      <c r="B58" s="76" t="s">
        <v>1023</v>
      </c>
      <c r="C58" s="77" t="s">
        <v>1021</v>
      </c>
      <c r="D58" s="77">
        <v>43434</v>
      </c>
      <c r="E58" s="78">
        <v>43438</v>
      </c>
      <c r="F58" s="77">
        <v>43436</v>
      </c>
      <c r="G58" s="77">
        <v>43442</v>
      </c>
      <c r="H58" s="74">
        <v>2</v>
      </c>
    </row>
    <row r="59" spans="1:8">
      <c r="A59" s="75" t="s">
        <v>1024</v>
      </c>
      <c r="B59" s="76" t="s">
        <v>1025</v>
      </c>
      <c r="C59" s="77" t="s">
        <v>1021</v>
      </c>
      <c r="D59" s="77">
        <v>43434</v>
      </c>
      <c r="E59" s="78">
        <v>43438</v>
      </c>
      <c r="F59" s="77">
        <v>43429</v>
      </c>
      <c r="G59" s="77">
        <v>43435</v>
      </c>
      <c r="H59" s="74">
        <v>1</v>
      </c>
    </row>
    <row r="60" spans="1:8">
      <c r="A60" s="75" t="s">
        <v>1024</v>
      </c>
      <c r="B60" s="76" t="s">
        <v>1025</v>
      </c>
      <c r="C60" s="77" t="s">
        <v>1021</v>
      </c>
      <c r="D60" s="77">
        <v>43434</v>
      </c>
      <c r="E60" s="78">
        <v>43438</v>
      </c>
      <c r="F60" s="77">
        <v>43436</v>
      </c>
      <c r="G60" s="77">
        <v>43442</v>
      </c>
      <c r="H60" s="74">
        <v>2</v>
      </c>
    </row>
    <row r="61" spans="1:8">
      <c r="A61" s="75" t="s">
        <v>1026</v>
      </c>
      <c r="B61" s="76" t="s">
        <v>1027</v>
      </c>
      <c r="C61" s="77" t="s">
        <v>1028</v>
      </c>
      <c r="D61" s="77">
        <v>43434</v>
      </c>
      <c r="E61" s="78">
        <v>43438</v>
      </c>
      <c r="F61" s="77">
        <v>43429</v>
      </c>
      <c r="G61" s="77">
        <v>43435</v>
      </c>
      <c r="H61" s="74">
        <v>1</v>
      </c>
    </row>
    <row r="62" spans="1:8">
      <c r="A62" s="75" t="s">
        <v>1026</v>
      </c>
      <c r="B62" s="76" t="s">
        <v>1027</v>
      </c>
      <c r="C62" s="77" t="s">
        <v>1028</v>
      </c>
      <c r="D62" s="77">
        <v>43434</v>
      </c>
      <c r="E62" s="78">
        <v>43438</v>
      </c>
      <c r="F62" s="77">
        <v>43436</v>
      </c>
      <c r="G62" s="77">
        <v>43442</v>
      </c>
      <c r="H62" s="74">
        <v>2</v>
      </c>
    </row>
    <row r="63" spans="1:8">
      <c r="A63" s="75" t="s">
        <v>1029</v>
      </c>
      <c r="B63" s="76" t="s">
        <v>1030</v>
      </c>
      <c r="C63" s="77" t="s">
        <v>1031</v>
      </c>
      <c r="D63" s="77">
        <v>43441</v>
      </c>
      <c r="E63" s="78">
        <v>43445</v>
      </c>
      <c r="F63" s="77">
        <v>43436</v>
      </c>
      <c r="G63" s="77">
        <v>43442</v>
      </c>
      <c r="H63" s="74">
        <v>1</v>
      </c>
    </row>
    <row r="64" spans="1:8">
      <c r="A64" s="75" t="s">
        <v>1029</v>
      </c>
      <c r="B64" s="76" t="s">
        <v>1030</v>
      </c>
      <c r="C64" s="77" t="s">
        <v>1031</v>
      </c>
      <c r="D64" s="77">
        <v>43441</v>
      </c>
      <c r="E64" s="78">
        <v>43445</v>
      </c>
      <c r="F64" s="77">
        <v>43443</v>
      </c>
      <c r="G64" s="77">
        <v>43449</v>
      </c>
      <c r="H64" s="74">
        <v>2</v>
      </c>
    </row>
    <row r="65" spans="1:8">
      <c r="A65" s="75" t="s">
        <v>1032</v>
      </c>
      <c r="B65" s="76" t="s">
        <v>1033</v>
      </c>
      <c r="C65" s="77" t="s">
        <v>1031</v>
      </c>
      <c r="D65" s="77">
        <v>43441</v>
      </c>
      <c r="E65" s="78">
        <v>43452</v>
      </c>
      <c r="F65" s="77">
        <v>43436</v>
      </c>
      <c r="G65" s="77">
        <v>43442</v>
      </c>
      <c r="H65" s="74">
        <v>1</v>
      </c>
    </row>
    <row r="66" spans="1:8">
      <c r="A66" s="75" t="s">
        <v>1032</v>
      </c>
      <c r="B66" s="76" t="s">
        <v>1033</v>
      </c>
      <c r="C66" s="77" t="s">
        <v>1031</v>
      </c>
      <c r="D66" s="77">
        <v>43441</v>
      </c>
      <c r="E66" s="78">
        <v>43452</v>
      </c>
      <c r="F66" s="77">
        <v>43443</v>
      </c>
      <c r="G66" s="77">
        <v>43449</v>
      </c>
      <c r="H66" s="74">
        <v>5</v>
      </c>
    </row>
    <row r="67" spans="1:8">
      <c r="A67" s="75" t="s">
        <v>1032</v>
      </c>
      <c r="B67" s="76" t="s">
        <v>1033</v>
      </c>
      <c r="C67" s="77" t="s">
        <v>1031</v>
      </c>
      <c r="D67" s="77">
        <v>43441</v>
      </c>
      <c r="E67" s="78">
        <v>43452</v>
      </c>
      <c r="F67" s="77">
        <v>43450</v>
      </c>
      <c r="G67" s="77">
        <v>43456</v>
      </c>
      <c r="H67" s="74">
        <v>2</v>
      </c>
    </row>
    <row r="68" spans="1:8">
      <c r="A68" s="75" t="s">
        <v>1034</v>
      </c>
      <c r="B68" s="76" t="s">
        <v>1035</v>
      </c>
      <c r="C68" s="77" t="s">
        <v>1028</v>
      </c>
      <c r="D68" s="77">
        <v>43434</v>
      </c>
      <c r="E68" s="78">
        <v>43493</v>
      </c>
      <c r="F68" s="77">
        <v>43429</v>
      </c>
      <c r="G68" s="77">
        <v>43435</v>
      </c>
      <c r="H68" s="74">
        <v>0.5</v>
      </c>
    </row>
    <row r="69" spans="1:8">
      <c r="A69" s="75" t="s">
        <v>1034</v>
      </c>
      <c r="B69" s="76" t="s">
        <v>1035</v>
      </c>
      <c r="C69" s="77" t="s">
        <v>1031</v>
      </c>
      <c r="D69" s="77">
        <v>43434</v>
      </c>
      <c r="E69" s="78">
        <v>43493</v>
      </c>
      <c r="F69" s="77">
        <v>43429</v>
      </c>
      <c r="G69" s="77">
        <v>43435</v>
      </c>
      <c r="H69" s="74">
        <v>0.5</v>
      </c>
    </row>
    <row r="70" spans="1:8">
      <c r="A70" s="75" t="s">
        <v>1034</v>
      </c>
      <c r="B70" s="76" t="s">
        <v>1035</v>
      </c>
      <c r="C70" s="77" t="s">
        <v>1028</v>
      </c>
      <c r="D70" s="77">
        <v>43434</v>
      </c>
      <c r="E70" s="78">
        <v>43493</v>
      </c>
      <c r="F70" s="77">
        <v>43436</v>
      </c>
      <c r="G70" s="77">
        <v>43442</v>
      </c>
      <c r="H70" s="74">
        <v>2.5</v>
      </c>
    </row>
    <row r="71" spans="1:8">
      <c r="A71" s="75" t="s">
        <v>1034</v>
      </c>
      <c r="B71" s="76" t="s">
        <v>1035</v>
      </c>
      <c r="C71" s="77" t="s">
        <v>1031</v>
      </c>
      <c r="D71" s="77">
        <v>43434</v>
      </c>
      <c r="E71" s="78">
        <v>43493</v>
      </c>
      <c r="F71" s="77">
        <v>43436</v>
      </c>
      <c r="G71" s="77">
        <v>43442</v>
      </c>
      <c r="H71" s="74">
        <v>2.5</v>
      </c>
    </row>
    <row r="72" spans="1:8">
      <c r="A72" s="75" t="s">
        <v>1034</v>
      </c>
      <c r="B72" s="76" t="s">
        <v>1035</v>
      </c>
      <c r="C72" s="77" t="s">
        <v>1028</v>
      </c>
      <c r="D72" s="77">
        <v>43434</v>
      </c>
      <c r="E72" s="78">
        <v>43493</v>
      </c>
      <c r="F72" s="77">
        <v>43443</v>
      </c>
      <c r="G72" s="77">
        <v>43449</v>
      </c>
      <c r="H72" s="74">
        <v>2.5</v>
      </c>
    </row>
    <row r="73" spans="1:8">
      <c r="A73" s="75" t="s">
        <v>1034</v>
      </c>
      <c r="B73" s="76" t="s">
        <v>1035</v>
      </c>
      <c r="C73" s="77" t="s">
        <v>1031</v>
      </c>
      <c r="D73" s="77">
        <v>43434</v>
      </c>
      <c r="E73" s="78">
        <v>43493</v>
      </c>
      <c r="F73" s="77">
        <v>43443</v>
      </c>
      <c r="G73" s="77">
        <v>43449</v>
      </c>
      <c r="H73" s="74">
        <v>2.5</v>
      </c>
    </row>
    <row r="74" spans="1:8">
      <c r="A74" s="75" t="s">
        <v>1034</v>
      </c>
      <c r="B74" s="76" t="s">
        <v>1035</v>
      </c>
      <c r="C74" s="77" t="s">
        <v>1028</v>
      </c>
      <c r="D74" s="77">
        <v>43434</v>
      </c>
      <c r="E74" s="78">
        <v>43493</v>
      </c>
      <c r="F74" s="77">
        <v>43450</v>
      </c>
      <c r="G74" s="77">
        <v>43456</v>
      </c>
      <c r="H74" s="74">
        <v>2.5</v>
      </c>
    </row>
    <row r="75" spans="1:8">
      <c r="A75" s="75" t="s">
        <v>1034</v>
      </c>
      <c r="B75" s="76" t="s">
        <v>1035</v>
      </c>
      <c r="C75" s="77" t="s">
        <v>1031</v>
      </c>
      <c r="D75" s="77">
        <v>43434</v>
      </c>
      <c r="E75" s="78">
        <v>43493</v>
      </c>
      <c r="F75" s="77">
        <v>43450</v>
      </c>
      <c r="G75" s="77">
        <v>43456</v>
      </c>
      <c r="H75" s="74">
        <v>2.5</v>
      </c>
    </row>
    <row r="76" spans="1:8">
      <c r="A76" s="75" t="s">
        <v>1034</v>
      </c>
      <c r="B76" s="76" t="s">
        <v>1035</v>
      </c>
      <c r="C76" s="77" t="s">
        <v>1028</v>
      </c>
      <c r="D76" s="77">
        <v>43434</v>
      </c>
      <c r="E76" s="78">
        <v>43493</v>
      </c>
      <c r="F76" s="77">
        <v>43457</v>
      </c>
      <c r="G76" s="77">
        <v>43463</v>
      </c>
      <c r="H76" s="74">
        <v>2</v>
      </c>
    </row>
    <row r="77" spans="1:8">
      <c r="A77" s="75" t="s">
        <v>1034</v>
      </c>
      <c r="B77" s="76" t="s">
        <v>1035</v>
      </c>
      <c r="C77" s="77" t="s">
        <v>1031</v>
      </c>
      <c r="D77" s="77">
        <v>43434</v>
      </c>
      <c r="E77" s="78">
        <v>43493</v>
      </c>
      <c r="F77" s="77">
        <v>43457</v>
      </c>
      <c r="G77" s="77">
        <v>43463</v>
      </c>
      <c r="H77" s="74">
        <v>2</v>
      </c>
    </row>
    <row r="78" spans="1:8">
      <c r="A78" s="75" t="s">
        <v>1034</v>
      </c>
      <c r="B78" s="76" t="s">
        <v>1035</v>
      </c>
      <c r="C78" s="77" t="s">
        <v>1028</v>
      </c>
      <c r="D78" s="77">
        <v>43434</v>
      </c>
      <c r="E78" s="78">
        <v>43493</v>
      </c>
      <c r="F78" s="77">
        <v>43464</v>
      </c>
      <c r="G78" s="77">
        <v>43470</v>
      </c>
      <c r="H78" s="74">
        <v>2</v>
      </c>
    </row>
    <row r="79" spans="1:8">
      <c r="A79" s="75" t="s">
        <v>1034</v>
      </c>
      <c r="B79" s="76" t="s">
        <v>1035</v>
      </c>
      <c r="C79" s="77" t="s">
        <v>1031</v>
      </c>
      <c r="D79" s="77">
        <v>43434</v>
      </c>
      <c r="E79" s="78">
        <v>43493</v>
      </c>
      <c r="F79" s="77">
        <v>43464</v>
      </c>
      <c r="G79" s="77">
        <v>43470</v>
      </c>
      <c r="H79" s="74">
        <v>2</v>
      </c>
    </row>
    <row r="80" spans="1:8">
      <c r="A80" s="75" t="s">
        <v>1034</v>
      </c>
      <c r="B80" s="76" t="s">
        <v>1035</v>
      </c>
      <c r="C80" s="77" t="s">
        <v>1028</v>
      </c>
      <c r="D80" s="77">
        <v>43434</v>
      </c>
      <c r="E80" s="78">
        <v>43493</v>
      </c>
      <c r="F80" s="77">
        <v>43471</v>
      </c>
      <c r="G80" s="77">
        <v>43477</v>
      </c>
      <c r="H80" s="74">
        <v>2.5</v>
      </c>
    </row>
    <row r="81" spans="1:8">
      <c r="A81" s="75" t="s">
        <v>1034</v>
      </c>
      <c r="B81" s="76" t="s">
        <v>1035</v>
      </c>
      <c r="C81" s="77" t="s">
        <v>1031</v>
      </c>
      <c r="D81" s="77">
        <v>43434</v>
      </c>
      <c r="E81" s="78">
        <v>43493</v>
      </c>
      <c r="F81" s="77">
        <v>43471</v>
      </c>
      <c r="G81" s="77">
        <v>43477</v>
      </c>
      <c r="H81" s="74">
        <v>2.5</v>
      </c>
    </row>
    <row r="82" spans="1:8">
      <c r="A82" s="75" t="s">
        <v>1034</v>
      </c>
      <c r="B82" s="76" t="s">
        <v>1035</v>
      </c>
      <c r="C82" s="77" t="s">
        <v>1028</v>
      </c>
      <c r="D82" s="77">
        <v>43434</v>
      </c>
      <c r="E82" s="78">
        <v>43493</v>
      </c>
      <c r="F82" s="77">
        <v>43478</v>
      </c>
      <c r="G82" s="77">
        <v>43484</v>
      </c>
      <c r="H82" s="74">
        <v>2.5</v>
      </c>
    </row>
    <row r="83" spans="1:8">
      <c r="A83" s="75" t="s">
        <v>1034</v>
      </c>
      <c r="B83" s="76" t="s">
        <v>1035</v>
      </c>
      <c r="C83" s="77" t="s">
        <v>1031</v>
      </c>
      <c r="D83" s="77">
        <v>43434</v>
      </c>
      <c r="E83" s="78">
        <v>43493</v>
      </c>
      <c r="F83" s="77">
        <v>43478</v>
      </c>
      <c r="G83" s="77">
        <v>43484</v>
      </c>
      <c r="H83" s="74">
        <v>2.5</v>
      </c>
    </row>
    <row r="84" spans="1:8">
      <c r="A84" s="75" t="s">
        <v>1034</v>
      </c>
      <c r="B84" s="76" t="s">
        <v>1035</v>
      </c>
      <c r="C84" s="77" t="s">
        <v>1028</v>
      </c>
      <c r="D84" s="77">
        <v>43434</v>
      </c>
      <c r="E84" s="78">
        <v>43493</v>
      </c>
      <c r="F84" s="77">
        <v>43485</v>
      </c>
      <c r="G84" s="77">
        <v>43491</v>
      </c>
      <c r="H84" s="74">
        <v>2.5</v>
      </c>
    </row>
    <row r="85" spans="1:8">
      <c r="A85" s="75" t="s">
        <v>1034</v>
      </c>
      <c r="B85" s="76" t="s">
        <v>1035</v>
      </c>
      <c r="C85" s="77" t="s">
        <v>1031</v>
      </c>
      <c r="D85" s="77">
        <v>43434</v>
      </c>
      <c r="E85" s="78">
        <v>43493</v>
      </c>
      <c r="F85" s="77">
        <v>43485</v>
      </c>
      <c r="G85" s="77">
        <v>43491</v>
      </c>
      <c r="H85" s="74">
        <v>2.5</v>
      </c>
    </row>
    <row r="86" spans="1:8">
      <c r="A86" s="75" t="s">
        <v>1034</v>
      </c>
      <c r="B86" s="76" t="s">
        <v>1035</v>
      </c>
      <c r="C86" s="77" t="s">
        <v>1028</v>
      </c>
      <c r="D86" s="77">
        <v>43434</v>
      </c>
      <c r="E86" s="78">
        <v>43493</v>
      </c>
      <c r="F86" s="77">
        <v>43492</v>
      </c>
      <c r="G86" s="77">
        <v>43498</v>
      </c>
      <c r="H86" s="74">
        <v>0.5</v>
      </c>
    </row>
    <row r="87" spans="1:8">
      <c r="A87" s="75" t="s">
        <v>1034</v>
      </c>
      <c r="B87" s="76" t="s">
        <v>1035</v>
      </c>
      <c r="C87" s="77" t="s">
        <v>1031</v>
      </c>
      <c r="D87" s="77">
        <v>43434</v>
      </c>
      <c r="E87" s="78">
        <v>43493</v>
      </c>
      <c r="F87" s="77">
        <v>43492</v>
      </c>
      <c r="G87" s="77">
        <v>43498</v>
      </c>
      <c r="H87" s="74">
        <v>0.5</v>
      </c>
    </row>
    <row r="88" spans="1:8">
      <c r="A88" s="75" t="s">
        <v>1036</v>
      </c>
      <c r="B88" s="76" t="s">
        <v>1037</v>
      </c>
      <c r="C88" s="77" t="s">
        <v>1028</v>
      </c>
      <c r="D88" s="77">
        <v>43434</v>
      </c>
      <c r="E88" s="78">
        <v>43493</v>
      </c>
      <c r="F88" s="77">
        <v>43429</v>
      </c>
      <c r="G88" s="77">
        <v>43435</v>
      </c>
      <c r="H88" s="74">
        <v>1</v>
      </c>
    </row>
    <row r="89" spans="1:8">
      <c r="A89" s="75" t="s">
        <v>1036</v>
      </c>
      <c r="B89" s="76" t="s">
        <v>1037</v>
      </c>
      <c r="C89" s="77" t="s">
        <v>1028</v>
      </c>
      <c r="D89" s="77">
        <v>43434</v>
      </c>
      <c r="E89" s="78">
        <v>43493</v>
      </c>
      <c r="F89" s="77">
        <v>43436</v>
      </c>
      <c r="G89" s="77">
        <v>43442</v>
      </c>
      <c r="H89" s="74">
        <v>5</v>
      </c>
    </row>
    <row r="90" spans="1:8">
      <c r="A90" s="75" t="s">
        <v>1036</v>
      </c>
      <c r="B90" s="76" t="s">
        <v>1037</v>
      </c>
      <c r="C90" s="77" t="s">
        <v>1028</v>
      </c>
      <c r="D90" s="77">
        <v>43434</v>
      </c>
      <c r="E90" s="78">
        <v>43493</v>
      </c>
      <c r="F90" s="77">
        <v>43443</v>
      </c>
      <c r="G90" s="77">
        <v>43449</v>
      </c>
      <c r="H90" s="74">
        <v>5</v>
      </c>
    </row>
    <row r="91" spans="1:8">
      <c r="A91" s="75" t="s">
        <v>1036</v>
      </c>
      <c r="B91" s="76" t="s">
        <v>1037</v>
      </c>
      <c r="C91" s="77" t="s">
        <v>1028</v>
      </c>
      <c r="D91" s="77">
        <v>43434</v>
      </c>
      <c r="E91" s="78">
        <v>43493</v>
      </c>
      <c r="F91" s="77">
        <v>43450</v>
      </c>
      <c r="G91" s="77">
        <v>43456</v>
      </c>
      <c r="H91" s="74">
        <v>5</v>
      </c>
    </row>
    <row r="92" spans="1:8">
      <c r="A92" s="75" t="s">
        <v>1036</v>
      </c>
      <c r="B92" s="76" t="s">
        <v>1037</v>
      </c>
      <c r="C92" s="77" t="s">
        <v>1028</v>
      </c>
      <c r="D92" s="77">
        <v>43434</v>
      </c>
      <c r="E92" s="78">
        <v>43493</v>
      </c>
      <c r="F92" s="77">
        <v>43457</v>
      </c>
      <c r="G92" s="77">
        <v>43463</v>
      </c>
      <c r="H92" s="74">
        <v>4</v>
      </c>
    </row>
    <row r="93" spans="1:8">
      <c r="A93" s="75" t="s">
        <v>1036</v>
      </c>
      <c r="B93" s="76" t="s">
        <v>1037</v>
      </c>
      <c r="C93" s="77" t="s">
        <v>1028</v>
      </c>
      <c r="D93" s="77">
        <v>43434</v>
      </c>
      <c r="E93" s="78">
        <v>43493</v>
      </c>
      <c r="F93" s="77">
        <v>43464</v>
      </c>
      <c r="G93" s="77">
        <v>43470</v>
      </c>
      <c r="H93" s="74">
        <v>4</v>
      </c>
    </row>
    <row r="94" spans="1:8">
      <c r="A94" s="75" t="s">
        <v>1036</v>
      </c>
      <c r="B94" s="76" t="s">
        <v>1037</v>
      </c>
      <c r="C94" s="77" t="s">
        <v>1028</v>
      </c>
      <c r="D94" s="77">
        <v>43434</v>
      </c>
      <c r="E94" s="78">
        <v>43493</v>
      </c>
      <c r="F94" s="77">
        <v>43471</v>
      </c>
      <c r="G94" s="77">
        <v>43477</v>
      </c>
      <c r="H94" s="74">
        <v>5</v>
      </c>
    </row>
    <row r="95" spans="1:8">
      <c r="A95" s="75" t="s">
        <v>1036</v>
      </c>
      <c r="B95" s="76" t="s">
        <v>1037</v>
      </c>
      <c r="C95" s="77" t="s">
        <v>1028</v>
      </c>
      <c r="D95" s="77">
        <v>43434</v>
      </c>
      <c r="E95" s="78">
        <v>43493</v>
      </c>
      <c r="F95" s="77">
        <v>43478</v>
      </c>
      <c r="G95" s="77">
        <v>43484</v>
      </c>
      <c r="H95" s="74">
        <v>5</v>
      </c>
    </row>
    <row r="96" spans="1:8">
      <c r="A96" s="75" t="s">
        <v>1036</v>
      </c>
      <c r="B96" s="76" t="s">
        <v>1037</v>
      </c>
      <c r="C96" s="77" t="s">
        <v>1028</v>
      </c>
      <c r="D96" s="77">
        <v>43434</v>
      </c>
      <c r="E96" s="78">
        <v>43493</v>
      </c>
      <c r="F96" s="77">
        <v>43485</v>
      </c>
      <c r="G96" s="77">
        <v>43491</v>
      </c>
      <c r="H96" s="74">
        <v>5</v>
      </c>
    </row>
    <row r="97" spans="1:8">
      <c r="A97" s="75" t="s">
        <v>1036</v>
      </c>
      <c r="B97" s="76" t="s">
        <v>1037</v>
      </c>
      <c r="C97" s="77" t="s">
        <v>1028</v>
      </c>
      <c r="D97" s="77">
        <v>43434</v>
      </c>
      <c r="E97" s="78">
        <v>43493</v>
      </c>
      <c r="F97" s="77">
        <v>43492</v>
      </c>
      <c r="G97" s="77">
        <v>43498</v>
      </c>
      <c r="H97" s="74">
        <v>1</v>
      </c>
    </row>
    <row r="98" spans="1:8">
      <c r="A98" s="75" t="s">
        <v>1038</v>
      </c>
      <c r="B98" s="76" t="s">
        <v>1039</v>
      </c>
      <c r="C98" s="77" t="s">
        <v>1031</v>
      </c>
      <c r="D98" s="77">
        <v>43448</v>
      </c>
      <c r="E98" s="78">
        <v>43493</v>
      </c>
      <c r="F98" s="77">
        <v>43443</v>
      </c>
      <c r="G98" s="77">
        <v>43449</v>
      </c>
      <c r="H98" s="74">
        <v>1</v>
      </c>
    </row>
    <row r="99" spans="1:8">
      <c r="A99" s="75" t="s">
        <v>1038</v>
      </c>
      <c r="B99" s="76" t="s">
        <v>1039</v>
      </c>
      <c r="C99" s="77" t="s">
        <v>1031</v>
      </c>
      <c r="D99" s="77">
        <v>43448</v>
      </c>
      <c r="E99" s="78">
        <v>43493</v>
      </c>
      <c r="F99" s="77">
        <v>43450</v>
      </c>
      <c r="G99" s="77">
        <v>43456</v>
      </c>
      <c r="H99" s="74">
        <v>5</v>
      </c>
    </row>
    <row r="100" spans="1:8">
      <c r="A100" s="75" t="s">
        <v>1038</v>
      </c>
      <c r="B100" s="76" t="s">
        <v>1039</v>
      </c>
      <c r="C100" s="77" t="s">
        <v>1031</v>
      </c>
      <c r="D100" s="77">
        <v>43448</v>
      </c>
      <c r="E100" s="78">
        <v>43493</v>
      </c>
      <c r="F100" s="77">
        <v>43457</v>
      </c>
      <c r="G100" s="77">
        <v>43463</v>
      </c>
      <c r="H100" s="74">
        <v>4</v>
      </c>
    </row>
    <row r="101" spans="1:8">
      <c r="A101" s="75" t="s">
        <v>1038</v>
      </c>
      <c r="B101" s="76" t="s">
        <v>1039</v>
      </c>
      <c r="C101" s="77" t="s">
        <v>1031</v>
      </c>
      <c r="D101" s="77">
        <v>43448</v>
      </c>
      <c r="E101" s="78">
        <v>43493</v>
      </c>
      <c r="F101" s="77">
        <v>43464</v>
      </c>
      <c r="G101" s="77">
        <v>43470</v>
      </c>
      <c r="H101" s="74">
        <v>4</v>
      </c>
    </row>
    <row r="102" spans="1:8">
      <c r="A102" s="75" t="s">
        <v>1038</v>
      </c>
      <c r="B102" s="76" t="s">
        <v>1039</v>
      </c>
      <c r="C102" s="77" t="s">
        <v>1031</v>
      </c>
      <c r="D102" s="77">
        <v>43448</v>
      </c>
      <c r="E102" s="78">
        <v>43493</v>
      </c>
      <c r="F102" s="77">
        <v>43471</v>
      </c>
      <c r="G102" s="77">
        <v>43477</v>
      </c>
      <c r="H102" s="74">
        <v>5</v>
      </c>
    </row>
    <row r="103" spans="1:8">
      <c r="A103" s="75" t="s">
        <v>1038</v>
      </c>
      <c r="B103" s="76" t="s">
        <v>1039</v>
      </c>
      <c r="C103" s="77" t="s">
        <v>1031</v>
      </c>
      <c r="D103" s="77">
        <v>43448</v>
      </c>
      <c r="E103" s="78">
        <v>43493</v>
      </c>
      <c r="F103" s="77">
        <v>43478</v>
      </c>
      <c r="G103" s="77">
        <v>43484</v>
      </c>
      <c r="H103" s="74">
        <v>5</v>
      </c>
    </row>
    <row r="104" spans="1:8">
      <c r="A104" s="75" t="s">
        <v>1038</v>
      </c>
      <c r="B104" s="76" t="s">
        <v>1039</v>
      </c>
      <c r="C104" s="77" t="s">
        <v>1031</v>
      </c>
      <c r="D104" s="77">
        <v>43448</v>
      </c>
      <c r="E104" s="78">
        <v>43493</v>
      </c>
      <c r="F104" s="77">
        <v>43485</v>
      </c>
      <c r="G104" s="77">
        <v>43491</v>
      </c>
      <c r="H104" s="74">
        <v>5</v>
      </c>
    </row>
    <row r="105" spans="1:8">
      <c r="A105" s="75" t="s">
        <v>1038</v>
      </c>
      <c r="B105" s="76" t="s">
        <v>1039</v>
      </c>
      <c r="C105" s="77" t="s">
        <v>1031</v>
      </c>
      <c r="D105" s="77">
        <v>43448</v>
      </c>
      <c r="E105" s="78">
        <v>43493</v>
      </c>
      <c r="F105" s="77">
        <v>43492</v>
      </c>
      <c r="G105" s="77">
        <v>43498</v>
      </c>
      <c r="H105" s="74">
        <v>1</v>
      </c>
    </row>
    <row r="106" spans="1:8">
      <c r="A106" s="75" t="s">
        <v>1040</v>
      </c>
      <c r="B106" s="76" t="s">
        <v>1041</v>
      </c>
      <c r="C106" s="77" t="s">
        <v>1021</v>
      </c>
      <c r="D106" s="77">
        <v>43476</v>
      </c>
      <c r="E106" s="78">
        <v>43494</v>
      </c>
      <c r="F106" s="77">
        <v>43471</v>
      </c>
      <c r="G106" s="77">
        <v>43477</v>
      </c>
      <c r="H106" s="74">
        <v>1</v>
      </c>
    </row>
    <row r="107" spans="1:8">
      <c r="A107" s="75" t="s">
        <v>1040</v>
      </c>
      <c r="B107" s="76" t="s">
        <v>1041</v>
      </c>
      <c r="C107" s="77" t="s">
        <v>1021</v>
      </c>
      <c r="D107" s="77">
        <v>43476</v>
      </c>
      <c r="E107" s="78">
        <v>43494</v>
      </c>
      <c r="F107" s="77">
        <v>43478</v>
      </c>
      <c r="G107" s="77">
        <v>43484</v>
      </c>
      <c r="H107" s="74">
        <v>5</v>
      </c>
    </row>
    <row r="108" spans="1:8">
      <c r="A108" s="75" t="s">
        <v>1040</v>
      </c>
      <c r="B108" s="76" t="s">
        <v>1041</v>
      </c>
      <c r="C108" s="77" t="s">
        <v>1021</v>
      </c>
      <c r="D108" s="77">
        <v>43476</v>
      </c>
      <c r="E108" s="78">
        <v>43494</v>
      </c>
      <c r="F108" s="77">
        <v>43485</v>
      </c>
      <c r="G108" s="77">
        <v>43491</v>
      </c>
      <c r="H108" s="74">
        <v>5</v>
      </c>
    </row>
    <row r="109" spans="1:8">
      <c r="A109" s="75" t="s">
        <v>1040</v>
      </c>
      <c r="B109" s="76" t="s">
        <v>1041</v>
      </c>
      <c r="C109" s="77" t="s">
        <v>1021</v>
      </c>
      <c r="D109" s="77">
        <v>43476</v>
      </c>
      <c r="E109" s="78">
        <v>43494</v>
      </c>
      <c r="F109" s="77">
        <v>43492</v>
      </c>
      <c r="G109" s="77">
        <v>43498</v>
      </c>
      <c r="H109" s="74">
        <v>2</v>
      </c>
    </row>
    <row r="110" spans="1:8">
      <c r="A110" s="75" t="s">
        <v>1042</v>
      </c>
      <c r="B110" s="76" t="s">
        <v>1043</v>
      </c>
      <c r="C110" s="77" t="s">
        <v>1021</v>
      </c>
      <c r="D110" s="77">
        <v>43497</v>
      </c>
      <c r="E110" s="78">
        <v>43501</v>
      </c>
      <c r="F110" s="77">
        <v>43492</v>
      </c>
      <c r="G110" s="77">
        <v>43498</v>
      </c>
      <c r="H110" s="74">
        <v>1</v>
      </c>
    </row>
    <row r="111" spans="1:8">
      <c r="A111" s="75" t="s">
        <v>1042</v>
      </c>
      <c r="B111" s="76" t="s">
        <v>1043</v>
      </c>
      <c r="C111" s="77" t="s">
        <v>1021</v>
      </c>
      <c r="D111" s="77">
        <v>43497</v>
      </c>
      <c r="E111" s="78">
        <v>43501</v>
      </c>
      <c r="F111" s="77">
        <v>43499</v>
      </c>
      <c r="G111" s="77">
        <v>43505</v>
      </c>
      <c r="H111" s="74">
        <v>0</v>
      </c>
    </row>
    <row r="112" spans="1:8">
      <c r="A112" s="75" t="s">
        <v>1044</v>
      </c>
      <c r="B112" s="76" t="s">
        <v>1045</v>
      </c>
      <c r="C112" s="77" t="s">
        <v>1021</v>
      </c>
      <c r="D112" s="77">
        <v>43497</v>
      </c>
      <c r="E112" s="78">
        <v>43499</v>
      </c>
      <c r="F112" s="77">
        <v>43492</v>
      </c>
      <c r="G112" s="77">
        <v>43498</v>
      </c>
      <c r="H112" s="74">
        <v>1</v>
      </c>
    </row>
    <row r="113" spans="1:8">
      <c r="A113" s="75" t="s">
        <v>1044</v>
      </c>
      <c r="B113" s="76" t="s">
        <v>1045</v>
      </c>
      <c r="C113" s="77" t="s">
        <v>1021</v>
      </c>
      <c r="D113" s="77">
        <v>43497</v>
      </c>
      <c r="E113" s="78">
        <v>43499</v>
      </c>
      <c r="F113" s="77">
        <v>43499</v>
      </c>
      <c r="G113" s="77">
        <v>43505</v>
      </c>
      <c r="H113" s="74">
        <v>0</v>
      </c>
    </row>
    <row r="114" spans="1:8">
      <c r="A114" s="75" t="s">
        <v>1046</v>
      </c>
      <c r="B114" s="76" t="s">
        <v>1047</v>
      </c>
      <c r="C114" s="77" t="s">
        <v>1021</v>
      </c>
      <c r="D114" s="77">
        <v>43501</v>
      </c>
      <c r="E114" s="78">
        <v>43503</v>
      </c>
      <c r="F114" s="77">
        <v>43499</v>
      </c>
      <c r="G114" s="77">
        <v>43505</v>
      </c>
      <c r="H114" s="74">
        <v>0.5</v>
      </c>
    </row>
    <row r="115" spans="1:8">
      <c r="A115" s="75" t="s">
        <v>1046</v>
      </c>
      <c r="B115" s="76" t="s">
        <v>1047</v>
      </c>
      <c r="C115" s="77" t="s">
        <v>1018</v>
      </c>
      <c r="D115" s="77">
        <v>43501</v>
      </c>
      <c r="E115" s="78">
        <v>43503</v>
      </c>
      <c r="F115" s="77">
        <v>43499</v>
      </c>
      <c r="G115" s="77">
        <v>43505</v>
      </c>
      <c r="H115" s="74">
        <v>0.5</v>
      </c>
    </row>
    <row r="116" spans="1:8">
      <c r="A116" s="75" t="s">
        <v>1048</v>
      </c>
      <c r="B116" s="76" t="s">
        <v>1049</v>
      </c>
      <c r="C116" s="77" t="s">
        <v>1021</v>
      </c>
      <c r="D116" s="77">
        <v>43501</v>
      </c>
      <c r="E116" s="78">
        <v>43503</v>
      </c>
      <c r="F116" s="77">
        <v>43499</v>
      </c>
      <c r="G116" s="77">
        <v>43505</v>
      </c>
      <c r="H116" s="74">
        <v>0.5</v>
      </c>
    </row>
    <row r="117" spans="1:8">
      <c r="A117" s="75" t="s">
        <v>1048</v>
      </c>
      <c r="B117" s="76" t="s">
        <v>1049</v>
      </c>
      <c r="C117" s="77" t="s">
        <v>1028</v>
      </c>
      <c r="D117" s="77">
        <v>43501</v>
      </c>
      <c r="E117" s="78">
        <v>43503</v>
      </c>
      <c r="F117" s="77">
        <v>43499</v>
      </c>
      <c r="G117" s="77">
        <v>43505</v>
      </c>
      <c r="H117" s="74">
        <v>0.5</v>
      </c>
    </row>
    <row r="118" spans="1:8">
      <c r="A118" s="75" t="s">
        <v>1050</v>
      </c>
      <c r="B118" s="76" t="s">
        <v>1051</v>
      </c>
      <c r="C118" s="77" t="s">
        <v>1021</v>
      </c>
      <c r="D118" s="77">
        <v>43501</v>
      </c>
      <c r="E118" s="78">
        <v>43503</v>
      </c>
      <c r="F118" s="77">
        <v>43499</v>
      </c>
      <c r="G118" s="77">
        <v>43505</v>
      </c>
      <c r="H118" s="74">
        <v>0.5</v>
      </c>
    </row>
    <row r="119" spans="1:8">
      <c r="A119" s="75" t="s">
        <v>1050</v>
      </c>
      <c r="B119" s="76" t="s">
        <v>1051</v>
      </c>
      <c r="C119" s="77" t="s">
        <v>1028</v>
      </c>
      <c r="D119" s="77">
        <v>43501</v>
      </c>
      <c r="E119" s="78">
        <v>43503</v>
      </c>
      <c r="F119" s="77">
        <v>43499</v>
      </c>
      <c r="G119" s="77">
        <v>43505</v>
      </c>
      <c r="H119" s="74">
        <v>0.5</v>
      </c>
    </row>
    <row r="120" spans="1:8">
      <c r="A120" s="75" t="s">
        <v>1052</v>
      </c>
      <c r="B120" s="76" t="s">
        <v>1053</v>
      </c>
      <c r="C120" s="77" t="s">
        <v>1021</v>
      </c>
      <c r="D120" s="77">
        <v>43504</v>
      </c>
      <c r="E120" s="78">
        <v>43504</v>
      </c>
      <c r="F120" s="77">
        <v>43499</v>
      </c>
      <c r="G120" s="77">
        <v>43505</v>
      </c>
      <c r="H120" s="74">
        <v>1</v>
      </c>
    </row>
    <row r="121" spans="1:8">
      <c r="G121" s="74" t="s">
        <v>1054</v>
      </c>
      <c r="H121" s="74">
        <f>SUM(H2:H120)</f>
        <v>263</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outlinePr summaryBelow="0"/>
    <pageSetUpPr fitToPage="1"/>
  </sheetPr>
  <dimension ref="A1:CM97"/>
  <sheetViews>
    <sheetView tabSelected="1" topLeftCell="D1" zoomScale="130" zoomScaleNormal="130" zoomScalePageLayoutView="55" workbookViewId="0">
      <pane ySplit="4" topLeftCell="A5" activePane="bottomLeft" state="frozen"/>
      <selection activeCell="E5" sqref="E5"/>
      <selection pane="bottomLeft" activeCell="Z24" sqref="Z24"/>
    </sheetView>
  </sheetViews>
  <sheetFormatPr defaultColWidth="10" defaultRowHeight="12" outlineLevelRow="3"/>
  <cols>
    <col min="1" max="1" width="19.875" style="193" hidden="1" customWidth="1"/>
    <col min="2" max="2" width="8.375" style="193" hidden="1" customWidth="1"/>
    <col min="3" max="3" width="9.375" style="193" hidden="1" customWidth="1"/>
    <col min="4" max="4" width="10.125" style="194" customWidth="1"/>
    <col min="5" max="10" width="2.375" style="195" customWidth="1"/>
    <col min="11" max="11" width="10.125" style="195" customWidth="1"/>
    <col min="12" max="12" width="9.75" style="195" customWidth="1"/>
    <col min="13" max="14" width="9.75" style="196" bestFit="1" customWidth="1"/>
    <col min="15" max="15" width="7.625" style="195" hidden="1" customWidth="1"/>
    <col min="16" max="16" width="6.125" style="197" bestFit="1" customWidth="1"/>
    <col min="17" max="17" width="5.5" style="197" bestFit="1" customWidth="1"/>
    <col min="18" max="18" width="8.375" style="198" hidden="1" customWidth="1"/>
    <col min="19" max="19" width="4.25" style="198" hidden="1" customWidth="1"/>
    <col min="20" max="20" width="13.125" style="196" hidden="1" customWidth="1"/>
    <col min="21" max="21" width="13.625" style="196" hidden="1" customWidth="1"/>
    <col min="22" max="22" width="8.375" style="199" hidden="1" customWidth="1"/>
    <col min="23" max="23" width="6.625" style="200" hidden="1" customWidth="1"/>
    <col min="24" max="24" width="4.75" style="201" customWidth="1"/>
    <col min="25" max="25" width="9.25" style="195" customWidth="1"/>
    <col min="26" max="26" width="11.5" style="202" customWidth="1"/>
    <col min="27" max="27" width="7" style="203" customWidth="1"/>
    <col min="28" max="28" width="7.125" style="204" customWidth="1"/>
    <col min="29" max="91" width="1.875" style="166" customWidth="1"/>
    <col min="92" max="16384" width="10" style="166"/>
  </cols>
  <sheetData>
    <row r="1" spans="1:91" s="138" customFormat="1" ht="20.100000000000001" customHeight="1">
      <c r="A1" s="121"/>
      <c r="B1" s="122"/>
      <c r="C1" s="123"/>
      <c r="D1" s="124" t="e">
        <f ca="1">xlgantt.ProjectName()</f>
        <v>#NAME?</v>
      </c>
      <c r="E1" s="125"/>
      <c r="F1" s="125"/>
      <c r="G1" s="125"/>
      <c r="H1" s="125"/>
      <c r="I1" s="125"/>
      <c r="J1" s="125"/>
      <c r="K1" s="125"/>
      <c r="L1" s="125"/>
      <c r="M1" s="125"/>
      <c r="N1" s="126"/>
      <c r="O1" s="127"/>
      <c r="P1" s="128"/>
      <c r="Q1" s="129"/>
      <c r="R1" s="130"/>
      <c r="S1" s="130"/>
      <c r="T1" s="131"/>
      <c r="U1" s="131"/>
      <c r="V1" s="122"/>
      <c r="W1" s="132"/>
      <c r="X1" s="133"/>
      <c r="Y1" s="134"/>
      <c r="Z1" s="135"/>
      <c r="AA1" s="136"/>
      <c r="AB1" s="137" t="e">
        <f ca="1">xlgantt.ProjectProgressString()</f>
        <v>#NAME?</v>
      </c>
      <c r="AC1" s="207" t="s">
        <v>1145</v>
      </c>
      <c r="AD1" s="207"/>
      <c r="AE1" s="207"/>
      <c r="AF1" s="207"/>
      <c r="AG1" s="207"/>
      <c r="AH1" s="207"/>
      <c r="AI1" s="207"/>
      <c r="AJ1" s="207"/>
      <c r="AK1" s="207"/>
      <c r="AL1" s="207"/>
      <c r="AM1" s="207"/>
      <c r="AN1" s="207"/>
      <c r="AO1" s="207"/>
      <c r="AP1" s="207"/>
      <c r="AQ1" s="207"/>
      <c r="AR1" s="207"/>
      <c r="AS1" s="207"/>
      <c r="AT1" s="207"/>
      <c r="AU1" s="207"/>
      <c r="AV1" s="207"/>
      <c r="AW1" s="207"/>
      <c r="AX1" s="207"/>
      <c r="AY1" s="207"/>
      <c r="AZ1" s="207"/>
      <c r="BA1" s="207"/>
      <c r="BB1" s="207"/>
      <c r="BC1" s="207"/>
      <c r="BD1" s="207"/>
      <c r="BE1" s="207"/>
      <c r="BF1" s="207"/>
      <c r="BG1" s="207"/>
      <c r="BH1" s="207"/>
      <c r="BI1" s="207"/>
      <c r="BJ1" s="207"/>
      <c r="BK1" s="207"/>
      <c r="BL1" s="207"/>
      <c r="BM1" s="207"/>
      <c r="BN1" s="207"/>
      <c r="BO1" s="207"/>
      <c r="BP1" s="207"/>
      <c r="BQ1" s="207"/>
      <c r="BR1" s="207"/>
      <c r="BS1" s="207"/>
      <c r="BT1" s="207"/>
      <c r="BU1" s="207"/>
      <c r="BV1" s="207"/>
      <c r="BW1" s="207"/>
      <c r="BX1" s="207"/>
      <c r="BY1" s="207"/>
      <c r="BZ1" s="207"/>
      <c r="CA1" s="207"/>
    </row>
    <row r="2" spans="1:91" s="138" customFormat="1" ht="15" customHeight="1">
      <c r="A2" s="139"/>
      <c r="B2" s="139"/>
      <c r="C2" s="140"/>
      <c r="D2" s="218"/>
      <c r="E2" s="218"/>
      <c r="F2" s="218"/>
      <c r="G2" s="141"/>
      <c r="H2" s="142"/>
      <c r="I2" s="141"/>
      <c r="J2" s="141"/>
      <c r="K2" s="141"/>
      <c r="L2" s="141"/>
      <c r="M2" s="141"/>
      <c r="N2" s="141"/>
      <c r="O2" s="141"/>
      <c r="P2" s="141"/>
      <c r="Q2" s="141"/>
      <c r="R2" s="141"/>
      <c r="S2" s="141"/>
      <c r="T2" s="141"/>
      <c r="U2" s="141"/>
      <c r="V2" s="141"/>
      <c r="W2" s="141"/>
      <c r="X2" s="141"/>
      <c r="Y2" s="141"/>
      <c r="Z2" s="143"/>
      <c r="AA2" s="144"/>
      <c r="AB2" s="141" t="e">
        <f ca="1">xlgantt.CommentOnHeadArea()</f>
        <v>#NAME?</v>
      </c>
      <c r="AC2" s="108" t="s">
        <v>1154</v>
      </c>
    </row>
    <row r="3" spans="1:91" s="145" customFormat="1" ht="20.100000000000001" customHeight="1">
      <c r="A3" s="209" t="s">
        <v>1055</v>
      </c>
      <c r="B3" s="211" t="s">
        <v>1056</v>
      </c>
      <c r="C3" s="213" t="s">
        <v>1057</v>
      </c>
      <c r="D3" s="214" t="s">
        <v>1058</v>
      </c>
      <c r="E3" s="215" t="s">
        <v>1059</v>
      </c>
      <c r="F3" s="216"/>
      <c r="G3" s="216"/>
      <c r="H3" s="216"/>
      <c r="I3" s="216"/>
      <c r="J3" s="216"/>
      <c r="K3" s="217"/>
      <c r="L3" s="219" t="s">
        <v>1060</v>
      </c>
      <c r="M3" s="219" t="s">
        <v>1061</v>
      </c>
      <c r="N3" s="219" t="s">
        <v>1062</v>
      </c>
      <c r="O3" s="211" t="s">
        <v>1063</v>
      </c>
      <c r="P3" s="220" t="s">
        <v>1064</v>
      </c>
      <c r="Q3" s="220" t="s">
        <v>1065</v>
      </c>
      <c r="R3" s="220" t="s">
        <v>1066</v>
      </c>
      <c r="S3" s="220" t="s">
        <v>1067</v>
      </c>
      <c r="T3" s="222" t="s">
        <v>1068</v>
      </c>
      <c r="U3" s="222" t="s">
        <v>1069</v>
      </c>
      <c r="V3" s="223" t="s">
        <v>1070</v>
      </c>
      <c r="W3" s="224" t="s">
        <v>1071</v>
      </c>
      <c r="X3" s="225" t="s">
        <v>1072</v>
      </c>
      <c r="Y3" s="219" t="s">
        <v>1073</v>
      </c>
      <c r="Z3" s="211" t="s">
        <v>1074</v>
      </c>
      <c r="AA3" s="226" t="s">
        <v>1075</v>
      </c>
      <c r="AB3" s="221" t="s">
        <v>1076</v>
      </c>
      <c r="AC3" s="205">
        <v>44857</v>
      </c>
      <c r="AD3" s="206"/>
      <c r="AE3" s="206"/>
      <c r="AF3" s="206"/>
      <c r="AG3" s="206">
        <v>44885</v>
      </c>
      <c r="AH3" s="206"/>
      <c r="AI3" s="206"/>
      <c r="AJ3" s="206"/>
      <c r="AK3" s="206">
        <v>44913</v>
      </c>
      <c r="AL3" s="206"/>
      <c r="AM3" s="206"/>
      <c r="AN3" s="208"/>
    </row>
    <row r="4" spans="1:91" s="151" customFormat="1" ht="5.0999999999999996" customHeight="1">
      <c r="A4" s="210"/>
      <c r="B4" s="212"/>
      <c r="C4" s="209"/>
      <c r="D4" s="214"/>
      <c r="E4" s="215"/>
      <c r="F4" s="216"/>
      <c r="G4" s="216"/>
      <c r="H4" s="216"/>
      <c r="I4" s="216"/>
      <c r="J4" s="216"/>
      <c r="K4" s="217"/>
      <c r="L4" s="219"/>
      <c r="M4" s="219"/>
      <c r="N4" s="219"/>
      <c r="O4" s="211"/>
      <c r="P4" s="220"/>
      <c r="Q4" s="220"/>
      <c r="R4" s="220"/>
      <c r="S4" s="220"/>
      <c r="T4" s="219"/>
      <c r="U4" s="219"/>
      <c r="V4" s="223"/>
      <c r="W4" s="224"/>
      <c r="X4" s="225"/>
      <c r="Y4" s="219"/>
      <c r="Z4" s="211"/>
      <c r="AA4" s="226"/>
      <c r="AB4" s="221"/>
      <c r="AC4" s="146">
        <v>44857</v>
      </c>
      <c r="AD4" s="147">
        <v>44864</v>
      </c>
      <c r="AE4" s="147">
        <v>44871</v>
      </c>
      <c r="AF4" s="147">
        <v>44878</v>
      </c>
      <c r="AG4" s="147">
        <v>44885</v>
      </c>
      <c r="AH4" s="147">
        <v>44892</v>
      </c>
      <c r="AI4" s="147">
        <v>44899</v>
      </c>
      <c r="AJ4" s="147">
        <v>44906</v>
      </c>
      <c r="AK4" s="147">
        <v>44913</v>
      </c>
      <c r="AL4" s="147"/>
      <c r="AM4" s="147"/>
      <c r="AN4" s="148"/>
      <c r="AO4" s="149"/>
      <c r="AP4" s="150"/>
      <c r="AQ4" s="150"/>
      <c r="AR4" s="150"/>
      <c r="AS4" s="150"/>
      <c r="AT4" s="150"/>
      <c r="AU4" s="150"/>
      <c r="AV4" s="150"/>
      <c r="AW4" s="150"/>
      <c r="AX4" s="150"/>
      <c r="AY4" s="150"/>
      <c r="AZ4" s="150"/>
      <c r="BA4" s="150"/>
      <c r="BB4" s="150"/>
      <c r="BC4" s="150"/>
      <c r="BD4" s="150"/>
      <c r="BE4" s="150"/>
      <c r="BF4" s="150"/>
      <c r="BG4" s="150"/>
      <c r="BH4" s="150"/>
      <c r="BI4" s="150"/>
      <c r="BJ4" s="150"/>
      <c r="BK4" s="150"/>
      <c r="BL4" s="150"/>
      <c r="BM4" s="150"/>
      <c r="BN4" s="150"/>
      <c r="BO4" s="150"/>
      <c r="BP4" s="150"/>
      <c r="BQ4" s="150"/>
      <c r="BR4" s="150"/>
      <c r="BS4" s="150"/>
      <c r="BT4" s="150"/>
      <c r="BU4" s="150"/>
      <c r="BV4" s="150"/>
      <c r="BW4" s="150"/>
      <c r="BX4" s="150"/>
      <c r="BY4" s="150"/>
      <c r="BZ4" s="150"/>
      <c r="CA4" s="150"/>
      <c r="CB4" s="150"/>
      <c r="CC4" s="150"/>
      <c r="CD4" s="150"/>
      <c r="CE4" s="150"/>
      <c r="CF4" s="150"/>
      <c r="CG4" s="150"/>
      <c r="CH4" s="150"/>
      <c r="CI4" s="150"/>
      <c r="CJ4" s="150"/>
      <c r="CK4" s="150"/>
      <c r="CL4" s="150"/>
      <c r="CM4" s="150"/>
    </row>
    <row r="5" spans="1:91">
      <c r="A5" s="152"/>
      <c r="B5" s="152" t="s">
        <v>1077</v>
      </c>
      <c r="C5" s="152">
        <v>1</v>
      </c>
      <c r="D5" s="153" t="s">
        <v>1078</v>
      </c>
      <c r="E5" s="154" t="s">
        <v>1079</v>
      </c>
      <c r="F5" s="154"/>
      <c r="G5" s="154"/>
      <c r="H5" s="154"/>
      <c r="I5" s="154"/>
      <c r="J5" s="154"/>
      <c r="K5" s="154"/>
      <c r="L5" s="154"/>
      <c r="M5" s="155">
        <v>44863</v>
      </c>
      <c r="N5" s="155">
        <v>44912</v>
      </c>
      <c r="O5" s="154"/>
      <c r="P5" s="156">
        <v>135</v>
      </c>
      <c r="Q5" s="156">
        <v>5</v>
      </c>
      <c r="R5" s="157">
        <v>35</v>
      </c>
      <c r="S5" s="157">
        <v>5</v>
      </c>
      <c r="T5" s="155"/>
      <c r="U5" s="155"/>
      <c r="V5" s="158">
        <v>0</v>
      </c>
      <c r="W5" s="159">
        <v>0</v>
      </c>
      <c r="X5" s="160"/>
      <c r="Y5" s="154"/>
      <c r="Z5" s="161"/>
      <c r="AA5" s="162">
        <v>1</v>
      </c>
      <c r="AB5" s="163">
        <v>1</v>
      </c>
      <c r="AC5" s="164"/>
      <c r="AD5" s="165" t="str">
        <f>" " &amp; TEXT(AB5,"#0.00%") &amp; " "</f>
        <v xml:space="preserve"> 100.00% </v>
      </c>
      <c r="AE5" s="165"/>
      <c r="AF5" s="165"/>
      <c r="AG5" s="165"/>
      <c r="AH5" s="165"/>
      <c r="AI5" s="165"/>
      <c r="AJ5" s="165"/>
      <c r="AK5" s="165" t="str">
        <f>"" &amp; "프로젝트 관리" &amp; " " &amp; IF(M5="","",TEXT(M5,"M/D-")) &amp; IF(N5="","",TEXT(N5,"M/D")) &amp; " "</f>
        <v xml:space="preserve">프로젝트 관리 10/29-12/17 </v>
      </c>
      <c r="AL5" s="165"/>
      <c r="AM5" s="165"/>
      <c r="AN5" s="165"/>
      <c r="AO5" s="165"/>
      <c r="AP5" s="165"/>
      <c r="AQ5" s="165"/>
      <c r="AR5" s="165"/>
      <c r="AS5" s="165"/>
      <c r="AT5" s="165"/>
      <c r="AU5" s="165"/>
      <c r="AV5" s="165"/>
      <c r="AW5" s="165"/>
      <c r="AX5" s="165"/>
      <c r="AY5" s="165"/>
      <c r="AZ5" s="165"/>
      <c r="BA5" s="165"/>
      <c r="BB5" s="165"/>
      <c r="BC5" s="165"/>
      <c r="BD5" s="165"/>
      <c r="BE5" s="165"/>
      <c r="BF5" s="165"/>
      <c r="BG5" s="165"/>
      <c r="BH5" s="165"/>
      <c r="BI5" s="165"/>
      <c r="BJ5" s="165"/>
      <c r="BK5" s="165"/>
      <c r="BL5" s="165"/>
      <c r="BM5" s="165"/>
      <c r="BN5" s="165"/>
      <c r="BO5" s="165"/>
      <c r="BP5" s="165"/>
      <c r="BQ5" s="165"/>
      <c r="BR5" s="165"/>
      <c r="BS5" s="165"/>
      <c r="BT5" s="165"/>
      <c r="BU5" s="165"/>
      <c r="BV5" s="165"/>
      <c r="BW5" s="165"/>
      <c r="BX5" s="165"/>
      <c r="BY5" s="165"/>
      <c r="BZ5" s="165"/>
      <c r="CA5" s="165"/>
      <c r="CB5" s="165"/>
      <c r="CC5" s="165"/>
      <c r="CD5" s="165"/>
      <c r="CE5" s="165"/>
      <c r="CF5" s="165"/>
      <c r="CG5" s="165"/>
      <c r="CH5" s="165"/>
      <c r="CI5" s="165"/>
      <c r="CJ5" s="165"/>
      <c r="CK5" s="165"/>
      <c r="CL5" s="165"/>
      <c r="CM5" s="165"/>
    </row>
    <row r="6" spans="1:91" outlineLevel="1">
      <c r="A6" s="152"/>
      <c r="B6" s="152" t="s">
        <v>1077</v>
      </c>
      <c r="C6" s="152">
        <v>2</v>
      </c>
      <c r="D6" s="153" t="s">
        <v>1080</v>
      </c>
      <c r="E6" s="154"/>
      <c r="F6" s="154" t="s">
        <v>1081</v>
      </c>
      <c r="G6" s="154"/>
      <c r="H6" s="154"/>
      <c r="I6" s="154"/>
      <c r="J6" s="154"/>
      <c r="K6" s="154"/>
      <c r="L6" s="154"/>
      <c r="M6" s="155">
        <v>44863</v>
      </c>
      <c r="N6" s="155">
        <v>44871</v>
      </c>
      <c r="O6" s="154"/>
      <c r="P6" s="156">
        <v>5</v>
      </c>
      <c r="Q6" s="156">
        <v>5</v>
      </c>
      <c r="R6" s="157">
        <v>5</v>
      </c>
      <c r="S6" s="157">
        <v>5</v>
      </c>
      <c r="T6" s="155"/>
      <c r="U6" s="155"/>
      <c r="V6" s="158">
        <v>0</v>
      </c>
      <c r="W6" s="159">
        <v>0</v>
      </c>
      <c r="X6" s="160"/>
      <c r="Y6" s="154"/>
      <c r="Z6" s="161"/>
      <c r="AA6" s="162">
        <v>1</v>
      </c>
      <c r="AB6" s="163">
        <v>1</v>
      </c>
      <c r="AC6" s="164"/>
      <c r="AD6" s="165"/>
      <c r="AE6" s="165" t="str">
        <f>" " &amp; TEXT(AB6,"#0.00%") &amp; " " &amp; "프로젝트 착수 및 계획수립" &amp; " " &amp; IF(M6="","",TEXT(M6,"M/D-")) &amp; IF(N6="","",TEXT(N6,"M/D")) &amp; " "</f>
        <v xml:space="preserve"> 100.00% 프로젝트 착수 및 계획수립 10/29-11/6 </v>
      </c>
      <c r="AF6" s="165"/>
      <c r="AG6" s="165"/>
      <c r="AH6" s="165"/>
      <c r="AI6" s="165"/>
      <c r="AJ6" s="165"/>
      <c r="AK6" s="165"/>
      <c r="AL6" s="165"/>
      <c r="AM6" s="165"/>
      <c r="AN6" s="165"/>
      <c r="AO6" s="165"/>
      <c r="AP6" s="165"/>
      <c r="AQ6" s="165"/>
      <c r="AR6" s="165"/>
      <c r="AS6" s="165"/>
      <c r="AT6" s="165"/>
      <c r="AU6" s="165"/>
      <c r="AV6" s="165"/>
      <c r="AW6" s="165"/>
      <c r="AX6" s="165"/>
      <c r="AY6" s="165"/>
      <c r="AZ6" s="165"/>
      <c r="BA6" s="165"/>
      <c r="BB6" s="165"/>
      <c r="BC6" s="165"/>
      <c r="BD6" s="165"/>
      <c r="BE6" s="165"/>
      <c r="BF6" s="165"/>
      <c r="BG6" s="165"/>
      <c r="BH6" s="165"/>
      <c r="BI6" s="165"/>
      <c r="BJ6" s="165"/>
      <c r="BK6" s="165"/>
      <c r="BL6" s="165"/>
      <c r="BM6" s="165"/>
      <c r="BN6" s="165"/>
      <c r="BO6" s="165"/>
      <c r="BP6" s="165"/>
      <c r="BQ6" s="165"/>
      <c r="BR6" s="165"/>
      <c r="BS6" s="165"/>
      <c r="BT6" s="165"/>
      <c r="BU6" s="165"/>
      <c r="BV6" s="165"/>
      <c r="BW6" s="165"/>
      <c r="BX6" s="165"/>
      <c r="BY6" s="165"/>
      <c r="BZ6" s="165"/>
      <c r="CA6" s="165"/>
      <c r="CB6" s="165"/>
      <c r="CC6" s="165"/>
      <c r="CD6" s="165"/>
      <c r="CE6" s="165"/>
      <c r="CF6" s="165"/>
      <c r="CG6" s="165"/>
      <c r="CH6" s="165"/>
      <c r="CI6" s="165"/>
      <c r="CJ6" s="165"/>
      <c r="CK6" s="165"/>
      <c r="CL6" s="165"/>
      <c r="CM6" s="165"/>
    </row>
    <row r="7" spans="1:91" outlineLevel="2">
      <c r="A7" s="152"/>
      <c r="B7" s="152"/>
      <c r="C7" s="152">
        <v>3</v>
      </c>
      <c r="D7" s="153" t="s">
        <v>975</v>
      </c>
      <c r="E7" s="154"/>
      <c r="F7" s="154"/>
      <c r="G7" s="154" t="s">
        <v>976</v>
      </c>
      <c r="H7" s="154"/>
      <c r="I7" s="154"/>
      <c r="J7" s="154"/>
      <c r="K7" s="154"/>
      <c r="L7" s="154"/>
      <c r="M7" s="155">
        <v>44863</v>
      </c>
      <c r="N7" s="155">
        <v>44863</v>
      </c>
      <c r="O7" s="154"/>
      <c r="P7" s="156">
        <v>0</v>
      </c>
      <c r="Q7" s="156">
        <v>0</v>
      </c>
      <c r="R7" s="157">
        <v>0</v>
      </c>
      <c r="S7" s="157">
        <v>0</v>
      </c>
      <c r="T7" s="155">
        <v>43305</v>
      </c>
      <c r="U7" s="155">
        <v>43306</v>
      </c>
      <c r="V7" s="158">
        <v>2</v>
      </c>
      <c r="W7" s="159">
        <v>2</v>
      </c>
      <c r="X7" s="160">
        <v>1</v>
      </c>
      <c r="Y7" s="154"/>
      <c r="Z7" s="161"/>
      <c r="AA7" s="162">
        <v>0</v>
      </c>
      <c r="AB7" s="163">
        <v>1</v>
      </c>
      <c r="AC7" s="164"/>
      <c r="AD7" s="165" t="str">
        <f>"" &amp; TEXT(AB7,"#0.00%") &amp; " " &amp; "프로젝트 착수" &amp; " " &amp; IF(M7="","",TEXT(M7,"M/D-")) &amp; IF(N7="","",TEXT(N7,"M/D")) &amp; " "</f>
        <v xml:space="preserve">100.00% 프로젝트 착수 10/29-10/29 </v>
      </c>
      <c r="AE7" s="165"/>
      <c r="AF7" s="165"/>
      <c r="AG7" s="165"/>
      <c r="AH7" s="165"/>
      <c r="AI7" s="165"/>
      <c r="AJ7" s="165"/>
      <c r="AK7" s="165"/>
      <c r="AL7" s="165"/>
      <c r="AM7" s="165"/>
      <c r="AN7" s="165"/>
      <c r="AO7" s="165"/>
      <c r="AP7" s="165"/>
      <c r="AQ7" s="165"/>
      <c r="AR7" s="165"/>
      <c r="AS7" s="165"/>
      <c r="AT7" s="165"/>
      <c r="AU7" s="165"/>
      <c r="AV7" s="165"/>
      <c r="AW7" s="165"/>
      <c r="AX7" s="165"/>
      <c r="AY7" s="165"/>
      <c r="AZ7" s="165"/>
      <c r="BA7" s="165"/>
      <c r="BB7" s="165"/>
      <c r="BC7" s="165"/>
      <c r="BD7" s="165"/>
      <c r="BE7" s="165"/>
      <c r="BF7" s="165"/>
      <c r="BG7" s="165"/>
      <c r="BH7" s="165"/>
      <c r="BI7" s="165"/>
      <c r="BJ7" s="165"/>
      <c r="BK7" s="165"/>
      <c r="BL7" s="165"/>
      <c r="BM7" s="165"/>
      <c r="BN7" s="165"/>
      <c r="BO7" s="165"/>
      <c r="BP7" s="165"/>
      <c r="BQ7" s="165"/>
      <c r="BR7" s="165"/>
      <c r="BS7" s="165"/>
      <c r="BT7" s="165"/>
      <c r="BU7" s="165"/>
      <c r="BV7" s="165"/>
      <c r="BW7" s="165"/>
      <c r="BX7" s="165"/>
      <c r="BY7" s="165"/>
      <c r="BZ7" s="165"/>
      <c r="CA7" s="165"/>
      <c r="CB7" s="165"/>
      <c r="CC7" s="165"/>
      <c r="CD7" s="165"/>
      <c r="CE7" s="165"/>
      <c r="CF7" s="165"/>
      <c r="CG7" s="165"/>
      <c r="CH7" s="165"/>
      <c r="CI7" s="165"/>
      <c r="CJ7" s="165"/>
      <c r="CK7" s="165"/>
      <c r="CL7" s="165"/>
      <c r="CM7" s="165"/>
    </row>
    <row r="8" spans="1:91" outlineLevel="2">
      <c r="A8" s="152"/>
      <c r="B8" s="152" t="s">
        <v>1077</v>
      </c>
      <c r="C8" s="152">
        <v>3</v>
      </c>
      <c r="D8" s="153" t="s">
        <v>1082</v>
      </c>
      <c r="E8" s="154"/>
      <c r="F8" s="154"/>
      <c r="G8" s="154" t="s">
        <v>1083</v>
      </c>
      <c r="H8" s="154"/>
      <c r="I8" s="154"/>
      <c r="J8" s="154"/>
      <c r="K8" s="154"/>
      <c r="L8" s="154"/>
      <c r="M8" s="155">
        <v>44864</v>
      </c>
      <c r="N8" s="155">
        <v>44871</v>
      </c>
      <c r="O8" s="154"/>
      <c r="P8" s="156">
        <v>5</v>
      </c>
      <c r="Q8" s="156">
        <v>5</v>
      </c>
      <c r="R8" s="157">
        <v>5</v>
      </c>
      <c r="S8" s="157">
        <v>5</v>
      </c>
      <c r="T8" s="155"/>
      <c r="U8" s="155"/>
      <c r="V8" s="158">
        <v>0</v>
      </c>
      <c r="W8" s="159">
        <v>0</v>
      </c>
      <c r="X8" s="160"/>
      <c r="Y8" s="154"/>
      <c r="Z8" s="161"/>
      <c r="AA8" s="162">
        <v>1</v>
      </c>
      <c r="AB8" s="163">
        <v>1</v>
      </c>
      <c r="AC8" s="164"/>
      <c r="AD8" s="165"/>
      <c r="AE8" s="165" t="str">
        <f>" " &amp; TEXT(AB8,"#0.00%") &amp; " " &amp; "프로젝트 범위정의" &amp; " " &amp; IF(M8="","",TEXT(M8,"M/D-")) &amp; IF(N8="","",TEXT(N8,"M/D")) &amp; " "</f>
        <v xml:space="preserve"> 100.00% 프로젝트 범위정의 10/30-11/6 </v>
      </c>
      <c r="AF8" s="165"/>
      <c r="AG8" s="165"/>
      <c r="AH8" s="165"/>
      <c r="AI8" s="165"/>
      <c r="AJ8" s="165"/>
      <c r="AK8" s="165"/>
      <c r="AL8" s="165"/>
      <c r="AM8" s="165"/>
      <c r="AN8" s="165"/>
      <c r="AO8" s="165"/>
      <c r="AP8" s="165"/>
      <c r="AQ8" s="165"/>
      <c r="AR8" s="165"/>
      <c r="AS8" s="165"/>
      <c r="AT8" s="165"/>
      <c r="AU8" s="165"/>
      <c r="AV8" s="165"/>
      <c r="AW8" s="165"/>
      <c r="AX8" s="165"/>
      <c r="AY8" s="165"/>
      <c r="AZ8" s="165"/>
      <c r="BA8" s="165"/>
      <c r="BB8" s="165"/>
      <c r="BC8" s="165"/>
      <c r="BD8" s="165"/>
      <c r="BE8" s="165"/>
      <c r="BF8" s="165"/>
      <c r="BG8" s="165"/>
      <c r="BH8" s="165"/>
      <c r="BI8" s="165"/>
      <c r="BJ8" s="165"/>
      <c r="BK8" s="165"/>
      <c r="BL8" s="165"/>
      <c r="BM8" s="165"/>
      <c r="BN8" s="165"/>
      <c r="BO8" s="165"/>
      <c r="BP8" s="165"/>
      <c r="BQ8" s="165"/>
      <c r="BR8" s="165"/>
      <c r="BS8" s="165"/>
      <c r="BT8" s="165"/>
      <c r="BU8" s="165"/>
      <c r="BV8" s="165"/>
      <c r="BW8" s="165"/>
      <c r="BX8" s="165"/>
      <c r="BY8" s="165"/>
      <c r="BZ8" s="165"/>
      <c r="CA8" s="165"/>
      <c r="CB8" s="165"/>
      <c r="CC8" s="165"/>
      <c r="CD8" s="165"/>
      <c r="CE8" s="165"/>
      <c r="CF8" s="165"/>
      <c r="CG8" s="165"/>
      <c r="CH8" s="165"/>
      <c r="CI8" s="165"/>
      <c r="CJ8" s="165"/>
      <c r="CK8" s="165"/>
      <c r="CL8" s="165"/>
      <c r="CM8" s="165"/>
    </row>
    <row r="9" spans="1:91" outlineLevel="3">
      <c r="A9" s="152"/>
      <c r="B9" s="152"/>
      <c r="C9" s="152">
        <v>4</v>
      </c>
      <c r="D9" s="153" t="s">
        <v>978</v>
      </c>
      <c r="E9" s="154"/>
      <c r="F9" s="154"/>
      <c r="G9" s="154"/>
      <c r="H9" s="154" t="s">
        <v>979</v>
      </c>
      <c r="I9" s="154"/>
      <c r="J9" s="154"/>
      <c r="K9" s="154"/>
      <c r="L9" s="154"/>
      <c r="M9" s="155">
        <v>44864</v>
      </c>
      <c r="N9" s="155">
        <v>44871</v>
      </c>
      <c r="O9" s="154"/>
      <c r="P9" s="156">
        <v>5</v>
      </c>
      <c r="Q9" s="156">
        <v>5</v>
      </c>
      <c r="R9" s="157">
        <v>5</v>
      </c>
      <c r="S9" s="157">
        <v>5</v>
      </c>
      <c r="T9" s="155">
        <v>43309</v>
      </c>
      <c r="U9" s="155">
        <v>43315</v>
      </c>
      <c r="V9" s="158">
        <v>5</v>
      </c>
      <c r="W9" s="159">
        <v>5</v>
      </c>
      <c r="X9" s="160">
        <v>1</v>
      </c>
      <c r="Y9" s="154"/>
      <c r="Z9" s="161"/>
      <c r="AA9" s="162">
        <v>1</v>
      </c>
      <c r="AB9" s="163">
        <v>1</v>
      </c>
      <c r="AC9" s="164"/>
      <c r="AD9" s="165"/>
      <c r="AE9" s="165" t="str">
        <f>" " &amp; TEXT(AB9,"#0.00%") &amp; " " &amp; "프로젝트 계획 수립" &amp; " " &amp; IF(M9="","",TEXT(M9,"M/D-")) &amp; IF(N9="","",TEXT(N9,"M/D")) &amp; " "</f>
        <v xml:space="preserve"> 100.00% 프로젝트 계획 수립 10/30-11/6 </v>
      </c>
      <c r="AF9" s="165"/>
      <c r="AG9" s="165"/>
      <c r="AH9" s="165"/>
      <c r="AI9" s="165"/>
      <c r="AJ9" s="165"/>
      <c r="AK9" s="165"/>
      <c r="AL9" s="165"/>
      <c r="AM9" s="165"/>
      <c r="AN9" s="165"/>
      <c r="AO9" s="165"/>
      <c r="AP9" s="165"/>
      <c r="AQ9" s="165"/>
      <c r="AR9" s="165"/>
      <c r="AS9" s="165"/>
      <c r="AT9" s="165"/>
      <c r="AU9" s="165"/>
      <c r="AV9" s="165"/>
      <c r="AW9" s="165"/>
      <c r="AX9" s="165"/>
      <c r="AY9" s="165"/>
      <c r="AZ9" s="165"/>
      <c r="BA9" s="165"/>
      <c r="BB9" s="165"/>
      <c r="BC9" s="165"/>
      <c r="BD9" s="165"/>
      <c r="BE9" s="165"/>
      <c r="BF9" s="165"/>
      <c r="BG9" s="165"/>
      <c r="BH9" s="165"/>
      <c r="BI9" s="165"/>
      <c r="BJ9" s="165"/>
      <c r="BK9" s="165"/>
      <c r="BL9" s="165"/>
      <c r="BM9" s="165"/>
      <c r="BN9" s="165"/>
      <c r="BO9" s="165"/>
      <c r="BP9" s="165"/>
      <c r="BQ9" s="165"/>
      <c r="BR9" s="165"/>
      <c r="BS9" s="165"/>
      <c r="BT9" s="165"/>
      <c r="BU9" s="165"/>
      <c r="BV9" s="165"/>
      <c r="BW9" s="165"/>
      <c r="BX9" s="165"/>
      <c r="BY9" s="165"/>
      <c r="BZ9" s="165"/>
      <c r="CA9" s="165"/>
      <c r="CB9" s="165"/>
      <c r="CC9" s="165"/>
      <c r="CD9" s="165"/>
      <c r="CE9" s="165"/>
      <c r="CF9" s="165"/>
      <c r="CG9" s="165"/>
      <c r="CH9" s="165"/>
      <c r="CI9" s="165"/>
      <c r="CJ9" s="165"/>
      <c r="CK9" s="165"/>
      <c r="CL9" s="165"/>
      <c r="CM9" s="165"/>
    </row>
    <row r="10" spans="1:91" outlineLevel="1">
      <c r="A10" s="152"/>
      <c r="B10" s="152" t="s">
        <v>1077</v>
      </c>
      <c r="C10" s="152">
        <v>2</v>
      </c>
      <c r="D10" s="153" t="s">
        <v>1084</v>
      </c>
      <c r="E10" s="154"/>
      <c r="F10" s="154" t="s">
        <v>1155</v>
      </c>
      <c r="G10" s="154"/>
      <c r="H10" s="154"/>
      <c r="I10" s="154"/>
      <c r="J10" s="154"/>
      <c r="K10" s="154"/>
      <c r="L10" s="154"/>
      <c r="M10" s="155">
        <v>44871</v>
      </c>
      <c r="N10" s="155">
        <v>44904</v>
      </c>
      <c r="O10" s="154"/>
      <c r="P10" s="156">
        <v>125</v>
      </c>
      <c r="Q10" s="156">
        <v>125</v>
      </c>
      <c r="R10" s="157">
        <v>25</v>
      </c>
      <c r="S10" s="157">
        <v>0</v>
      </c>
      <c r="T10" s="155"/>
      <c r="U10" s="155"/>
      <c r="V10" s="158">
        <v>0</v>
      </c>
      <c r="W10" s="159">
        <v>0</v>
      </c>
      <c r="X10" s="160"/>
      <c r="Y10" s="154"/>
      <c r="Z10" s="161"/>
      <c r="AA10" s="162">
        <v>1</v>
      </c>
      <c r="AB10" s="163">
        <v>10</v>
      </c>
      <c r="AC10" s="164"/>
      <c r="AD10" s="165"/>
      <c r="AE10" s="165" t="str">
        <f t="shared" ref="AE10:AE17" si="0">"" &amp; TEXT(AB10,"#0.00%") &amp; " "</f>
        <v xml:space="preserve">1000.00% </v>
      </c>
      <c r="AF10" s="165"/>
      <c r="AG10" s="165"/>
      <c r="AH10" s="165"/>
      <c r="AI10" s="165" t="str">
        <f>"      " &amp; "프로젝트 수행" &amp; " " &amp; IF(M10="","",TEXT(M10,"M/D-")) &amp; IF(N10="","",TEXT(N10,"M/D")) &amp; " "</f>
        <v xml:space="preserve">      프로젝트 수행 11/6-12/9 </v>
      </c>
      <c r="AJ10" s="165"/>
      <c r="AK10" s="165"/>
      <c r="AL10" s="165"/>
      <c r="AM10" s="165"/>
      <c r="AN10" s="165"/>
      <c r="AO10" s="165"/>
      <c r="AP10" s="165"/>
      <c r="AQ10" s="165"/>
      <c r="AR10" s="165"/>
      <c r="AS10" s="165"/>
      <c r="AT10" s="165"/>
      <c r="AU10" s="165"/>
      <c r="AV10" s="165"/>
      <c r="AW10" s="165"/>
      <c r="AX10" s="165"/>
      <c r="AY10" s="165"/>
      <c r="AZ10" s="165"/>
      <c r="BA10" s="165"/>
      <c r="BB10" s="165"/>
      <c r="BC10" s="165"/>
      <c r="BD10" s="165"/>
      <c r="BE10" s="165"/>
      <c r="BF10" s="165"/>
      <c r="BG10" s="165"/>
      <c r="BH10" s="165"/>
      <c r="BI10" s="165"/>
      <c r="BJ10" s="165"/>
      <c r="BK10" s="165"/>
      <c r="BL10" s="165"/>
      <c r="BM10" s="165"/>
      <c r="BN10" s="165"/>
      <c r="BO10" s="165"/>
      <c r="BP10" s="165"/>
      <c r="BQ10" s="165"/>
      <c r="BR10" s="165"/>
      <c r="BS10" s="165"/>
      <c r="BT10" s="165"/>
      <c r="BU10" s="165"/>
      <c r="BV10" s="165"/>
      <c r="BW10" s="165"/>
      <c r="BX10" s="165"/>
      <c r="BY10" s="165"/>
      <c r="BZ10" s="165"/>
      <c r="CA10" s="165"/>
      <c r="CB10" s="165"/>
      <c r="CC10" s="165"/>
      <c r="CD10" s="165"/>
      <c r="CE10" s="165"/>
      <c r="CF10" s="165"/>
      <c r="CG10" s="165"/>
      <c r="CH10" s="165"/>
      <c r="CI10" s="165"/>
      <c r="CJ10" s="165"/>
      <c r="CK10" s="165"/>
      <c r="CL10" s="165"/>
      <c r="CM10" s="165"/>
    </row>
    <row r="11" spans="1:91" outlineLevel="2">
      <c r="A11" s="152"/>
      <c r="B11" s="152"/>
      <c r="C11" s="152">
        <v>3</v>
      </c>
      <c r="D11" s="153" t="s">
        <v>984</v>
      </c>
      <c r="E11" s="154"/>
      <c r="F11" s="154"/>
      <c r="G11" s="154" t="s">
        <v>1146</v>
      </c>
      <c r="H11" s="154"/>
      <c r="I11" s="154"/>
      <c r="J11" s="154"/>
      <c r="K11" s="154"/>
      <c r="L11" s="154"/>
      <c r="M11" s="155">
        <v>44871</v>
      </c>
      <c r="N11" s="155">
        <v>44904</v>
      </c>
      <c r="O11" s="154"/>
      <c r="P11" s="156">
        <v>25</v>
      </c>
      <c r="Q11" s="156">
        <v>25</v>
      </c>
      <c r="R11" s="157">
        <v>25</v>
      </c>
      <c r="S11" s="157">
        <v>0</v>
      </c>
      <c r="T11" s="155">
        <v>43330</v>
      </c>
      <c r="U11" s="155">
        <v>43334</v>
      </c>
      <c r="V11" s="158">
        <v>3</v>
      </c>
      <c r="W11" s="159">
        <v>3</v>
      </c>
      <c r="X11" s="160">
        <v>1</v>
      </c>
      <c r="Y11" s="154"/>
      <c r="Z11" s="161"/>
      <c r="AA11" s="162">
        <v>1</v>
      </c>
      <c r="AB11" s="163">
        <v>1</v>
      </c>
      <c r="AC11" s="164"/>
      <c r="AD11" s="165"/>
      <c r="AE11" s="165" t="str">
        <f t="shared" si="0"/>
        <v xml:space="preserve">100.00% </v>
      </c>
      <c r="AF11" s="165"/>
      <c r="AG11" s="165"/>
      <c r="AH11" s="165"/>
      <c r="AI11" s="165" t="str">
        <f>"      " &amp; "Win Form UI" &amp; " " &amp; IF(M11="","",TEXT(M11,"M/D-")) &amp; IF(N11="","",TEXT(N11,"M/D")) &amp; " "</f>
        <v xml:space="preserve">      Win Form UI 11/6-12/9 </v>
      </c>
      <c r="AJ11" s="165"/>
      <c r="AK11" s="165"/>
      <c r="AL11" s="165"/>
      <c r="AM11" s="165"/>
      <c r="AN11" s="165"/>
      <c r="AO11" s="165"/>
      <c r="AP11" s="165"/>
      <c r="AQ11" s="165"/>
      <c r="AR11" s="165"/>
      <c r="AS11" s="165"/>
      <c r="AT11" s="165"/>
      <c r="AU11" s="165"/>
      <c r="AV11" s="165"/>
      <c r="AW11" s="165"/>
      <c r="AX11" s="165"/>
      <c r="AY11" s="165"/>
      <c r="AZ11" s="165"/>
      <c r="BA11" s="165"/>
      <c r="BB11" s="165"/>
      <c r="BC11" s="165"/>
      <c r="BD11" s="165"/>
      <c r="BE11" s="165"/>
      <c r="BF11" s="165"/>
      <c r="BG11" s="165"/>
      <c r="BH11" s="165"/>
      <c r="BI11" s="165"/>
      <c r="BJ11" s="165"/>
      <c r="BK11" s="165"/>
      <c r="BL11" s="165"/>
      <c r="BM11" s="165"/>
      <c r="BN11" s="165"/>
      <c r="BO11" s="165"/>
      <c r="BP11" s="165"/>
      <c r="BQ11" s="165"/>
      <c r="BR11" s="165"/>
      <c r="BS11" s="165"/>
      <c r="BT11" s="165"/>
      <c r="BU11" s="165"/>
      <c r="BV11" s="165"/>
      <c r="BW11" s="165"/>
      <c r="BX11" s="165"/>
      <c r="BY11" s="165"/>
      <c r="BZ11" s="165"/>
      <c r="CA11" s="165"/>
      <c r="CB11" s="165"/>
      <c r="CC11" s="165"/>
      <c r="CD11" s="165"/>
      <c r="CE11" s="165"/>
      <c r="CF11" s="165"/>
      <c r="CG11" s="165"/>
      <c r="CH11" s="165"/>
      <c r="CI11" s="165"/>
      <c r="CJ11" s="165"/>
      <c r="CK11" s="165"/>
      <c r="CL11" s="165"/>
      <c r="CM11" s="165"/>
    </row>
    <row r="12" spans="1:91" outlineLevel="2">
      <c r="A12" s="152"/>
      <c r="B12" s="152" t="s">
        <v>1077</v>
      </c>
      <c r="C12" s="152">
        <v>3</v>
      </c>
      <c r="D12" s="153" t="s">
        <v>986</v>
      </c>
      <c r="E12" s="154"/>
      <c r="F12" s="154"/>
      <c r="G12" s="154" t="s">
        <v>1147</v>
      </c>
      <c r="H12" s="154"/>
      <c r="I12" s="154"/>
      <c r="J12" s="154"/>
      <c r="K12" s="154"/>
      <c r="L12" s="154"/>
      <c r="M12" s="155">
        <v>44871</v>
      </c>
      <c r="N12" s="155">
        <v>44904</v>
      </c>
      <c r="O12" s="154"/>
      <c r="P12" s="156">
        <v>50</v>
      </c>
      <c r="Q12" s="156">
        <v>50</v>
      </c>
      <c r="R12" s="157">
        <v>25</v>
      </c>
      <c r="S12" s="157">
        <v>0</v>
      </c>
      <c r="T12" s="155"/>
      <c r="U12" s="155"/>
      <c r="V12" s="158">
        <v>0</v>
      </c>
      <c r="W12" s="159">
        <v>0</v>
      </c>
      <c r="X12" s="160"/>
      <c r="Y12" s="154"/>
      <c r="Z12" s="161"/>
      <c r="AA12" s="162">
        <v>1</v>
      </c>
      <c r="AB12" s="163">
        <v>1</v>
      </c>
      <c r="AC12" s="164"/>
      <c r="AD12" s="165"/>
      <c r="AE12" s="165" t="str">
        <f t="shared" si="0"/>
        <v xml:space="preserve">100.00% </v>
      </c>
      <c r="AF12" s="165"/>
      <c r="AG12" s="165"/>
      <c r="AH12" s="165"/>
      <c r="AI12" s="165" t="str">
        <f>"      " &amp; "C# Server" &amp; " " &amp; IF(M12="","",TEXT(M12,"M/D-")) &amp; IF(N12="","",TEXT(N12,"M/D")) &amp; " "</f>
        <v xml:space="preserve">      C# Server 11/6-12/9 </v>
      </c>
      <c r="AJ12" s="165"/>
      <c r="AK12" s="165"/>
      <c r="AL12" s="165"/>
      <c r="AM12" s="165"/>
      <c r="AN12" s="165"/>
      <c r="AO12" s="165"/>
      <c r="AP12" s="165"/>
      <c r="AQ12" s="165"/>
      <c r="AR12" s="165"/>
      <c r="AS12" s="165"/>
      <c r="AT12" s="165"/>
      <c r="AU12" s="165"/>
      <c r="AV12" s="165"/>
      <c r="AW12" s="165"/>
      <c r="AX12" s="165"/>
      <c r="AY12" s="165"/>
      <c r="AZ12" s="165"/>
      <c r="BA12" s="165"/>
      <c r="BB12" s="165"/>
      <c r="BC12" s="165"/>
      <c r="BD12" s="165"/>
      <c r="BE12" s="165"/>
      <c r="BF12" s="165"/>
      <c r="BG12" s="165"/>
      <c r="BH12" s="165"/>
      <c r="BI12" s="165"/>
      <c r="BJ12" s="165"/>
      <c r="BK12" s="165"/>
      <c r="BL12" s="165"/>
      <c r="BM12" s="165"/>
      <c r="BN12" s="165"/>
      <c r="BO12" s="165"/>
      <c r="BP12" s="165"/>
      <c r="BQ12" s="165"/>
      <c r="BR12" s="165"/>
      <c r="BS12" s="165"/>
      <c r="BT12" s="165"/>
      <c r="BU12" s="165"/>
      <c r="BV12" s="165"/>
      <c r="BW12" s="165"/>
      <c r="BX12" s="165"/>
      <c r="BY12" s="165"/>
      <c r="BZ12" s="165"/>
      <c r="CA12" s="165"/>
      <c r="CB12" s="165"/>
      <c r="CC12" s="165"/>
      <c r="CD12" s="165"/>
      <c r="CE12" s="165"/>
      <c r="CF12" s="165"/>
      <c r="CG12" s="165"/>
      <c r="CH12" s="165"/>
      <c r="CI12" s="165"/>
      <c r="CJ12" s="165"/>
      <c r="CK12" s="165"/>
      <c r="CL12" s="165"/>
      <c r="CM12" s="165"/>
    </row>
    <row r="13" spans="1:91" outlineLevel="3">
      <c r="A13" s="152"/>
      <c r="B13" s="152"/>
      <c r="C13" s="152">
        <v>4</v>
      </c>
      <c r="D13" s="153" t="s">
        <v>1156</v>
      </c>
      <c r="E13" s="154"/>
      <c r="F13" s="154"/>
      <c r="G13" s="154"/>
      <c r="H13" s="154" t="s">
        <v>1148</v>
      </c>
      <c r="I13" s="154"/>
      <c r="J13" s="154"/>
      <c r="K13" s="154"/>
      <c r="L13" s="154"/>
      <c r="M13" s="155">
        <v>44871</v>
      </c>
      <c r="N13" s="155">
        <v>44904</v>
      </c>
      <c r="O13" s="154"/>
      <c r="P13" s="156">
        <v>25</v>
      </c>
      <c r="Q13" s="156">
        <v>25</v>
      </c>
      <c r="R13" s="157">
        <v>25</v>
      </c>
      <c r="S13" s="157">
        <v>0</v>
      </c>
      <c r="T13" s="155"/>
      <c r="U13" s="155"/>
      <c r="V13" s="158"/>
      <c r="W13" s="159">
        <v>0</v>
      </c>
      <c r="X13" s="160">
        <v>1</v>
      </c>
      <c r="Y13" s="154"/>
      <c r="Z13" s="161"/>
      <c r="AA13" s="162">
        <v>1</v>
      </c>
      <c r="AB13" s="163">
        <v>1</v>
      </c>
      <c r="AC13" s="164"/>
      <c r="AD13" s="165"/>
      <c r="AE13" s="165" t="str">
        <f t="shared" si="0"/>
        <v xml:space="preserve">100.00% </v>
      </c>
      <c r="AF13" s="165"/>
      <c r="AG13" s="165"/>
      <c r="AH13" s="165"/>
      <c r="AI13" s="165" t="str">
        <f>"      " &amp; "DB" &amp; " " &amp; IF(M13="","",TEXT(M13,"M/D-")) &amp; IF(N13="","",TEXT(N13,"M/D")) &amp; " "</f>
        <v xml:space="preserve">      DB 11/6-12/9 </v>
      </c>
      <c r="AJ13" s="165"/>
      <c r="AK13" s="165"/>
      <c r="AL13" s="165"/>
      <c r="AM13" s="165"/>
      <c r="AN13" s="165"/>
      <c r="AO13" s="165"/>
      <c r="AP13" s="165"/>
      <c r="AQ13" s="165"/>
      <c r="AR13" s="165"/>
      <c r="AS13" s="165"/>
      <c r="AT13" s="165"/>
      <c r="AU13" s="165"/>
      <c r="AV13" s="165"/>
      <c r="AW13" s="165"/>
      <c r="AX13" s="165"/>
      <c r="AY13" s="165"/>
      <c r="AZ13" s="165"/>
      <c r="BA13" s="165"/>
      <c r="BB13" s="165"/>
      <c r="BC13" s="165"/>
      <c r="BD13" s="165"/>
      <c r="BE13" s="165"/>
      <c r="BF13" s="165"/>
      <c r="BG13" s="165"/>
      <c r="BH13" s="165"/>
      <c r="BI13" s="165"/>
      <c r="BJ13" s="165"/>
      <c r="BK13" s="165"/>
      <c r="BL13" s="165"/>
      <c r="BM13" s="165"/>
      <c r="BN13" s="165"/>
      <c r="BO13" s="165"/>
      <c r="BP13" s="165"/>
      <c r="BQ13" s="165"/>
      <c r="BR13" s="165"/>
      <c r="BS13" s="165"/>
      <c r="BT13" s="165"/>
      <c r="BU13" s="165"/>
      <c r="BV13" s="165"/>
      <c r="BW13" s="165"/>
      <c r="BX13" s="165"/>
      <c r="BY13" s="165"/>
      <c r="BZ13" s="165"/>
      <c r="CA13" s="165"/>
      <c r="CB13" s="165"/>
      <c r="CC13" s="165"/>
      <c r="CD13" s="165"/>
      <c r="CE13" s="165"/>
      <c r="CF13" s="165"/>
      <c r="CG13" s="165"/>
      <c r="CH13" s="165"/>
      <c r="CI13" s="165"/>
      <c r="CJ13" s="165"/>
      <c r="CK13" s="165"/>
      <c r="CL13" s="165"/>
      <c r="CM13" s="165"/>
    </row>
    <row r="14" spans="1:91" outlineLevel="3">
      <c r="A14" s="152"/>
      <c r="B14" s="152"/>
      <c r="C14" s="152">
        <v>4</v>
      </c>
      <c r="D14" s="153" t="s">
        <v>1157</v>
      </c>
      <c r="E14" s="154"/>
      <c r="F14" s="154"/>
      <c r="G14" s="154"/>
      <c r="H14" s="154" t="s">
        <v>1149</v>
      </c>
      <c r="I14" s="154"/>
      <c r="J14" s="154"/>
      <c r="K14" s="154"/>
      <c r="L14" s="154"/>
      <c r="M14" s="155">
        <v>44871</v>
      </c>
      <c r="N14" s="155">
        <v>44904</v>
      </c>
      <c r="O14" s="154"/>
      <c r="P14" s="156">
        <v>25</v>
      </c>
      <c r="Q14" s="156">
        <v>25</v>
      </c>
      <c r="R14" s="157">
        <v>25</v>
      </c>
      <c r="S14" s="157">
        <v>0</v>
      </c>
      <c r="T14" s="155"/>
      <c r="U14" s="155"/>
      <c r="V14" s="158"/>
      <c r="W14" s="159">
        <v>0</v>
      </c>
      <c r="X14" s="160">
        <v>1</v>
      </c>
      <c r="Y14" s="154"/>
      <c r="Z14" s="161"/>
      <c r="AA14" s="162">
        <v>1</v>
      </c>
      <c r="AB14" s="163">
        <v>1</v>
      </c>
      <c r="AC14" s="164"/>
      <c r="AD14" s="165"/>
      <c r="AE14" s="165" t="str">
        <f t="shared" si="0"/>
        <v xml:space="preserve">100.00% </v>
      </c>
      <c r="AF14" s="165"/>
      <c r="AG14" s="165"/>
      <c r="AH14" s="165"/>
      <c r="AI14" s="165" t="str">
        <f>"      " &amp; "통신" &amp; " " &amp; IF(M14="","",TEXT(M14,"M/D-")) &amp; IF(N14="","",TEXT(N14,"M/D")) &amp; " "</f>
        <v xml:space="preserve">      통신 11/6-12/9 </v>
      </c>
      <c r="AJ14" s="165"/>
      <c r="AK14" s="165"/>
      <c r="AL14" s="165"/>
      <c r="AM14" s="165"/>
      <c r="AN14" s="165"/>
      <c r="AO14" s="165"/>
      <c r="AP14" s="165"/>
      <c r="AQ14" s="165"/>
      <c r="AR14" s="165"/>
      <c r="AS14" s="165"/>
      <c r="AT14" s="165"/>
      <c r="AU14" s="165"/>
      <c r="AV14" s="165"/>
      <c r="AW14" s="165"/>
      <c r="AX14" s="165"/>
      <c r="AY14" s="165"/>
      <c r="AZ14" s="165"/>
      <c r="BA14" s="165"/>
      <c r="BB14" s="165"/>
      <c r="BC14" s="165"/>
      <c r="BD14" s="165"/>
      <c r="BE14" s="165"/>
      <c r="BF14" s="165"/>
      <c r="BG14" s="165"/>
      <c r="BH14" s="165"/>
      <c r="BI14" s="165"/>
      <c r="BJ14" s="165"/>
      <c r="BK14" s="165"/>
      <c r="BL14" s="165"/>
      <c r="BM14" s="165"/>
      <c r="BN14" s="165"/>
      <c r="BO14" s="165"/>
      <c r="BP14" s="165"/>
      <c r="BQ14" s="165"/>
      <c r="BR14" s="165"/>
      <c r="BS14" s="165"/>
      <c r="BT14" s="165"/>
      <c r="BU14" s="165"/>
      <c r="BV14" s="165"/>
      <c r="BW14" s="165"/>
      <c r="BX14" s="165"/>
      <c r="BY14" s="165"/>
      <c r="BZ14" s="165"/>
      <c r="CA14" s="165"/>
      <c r="CB14" s="165"/>
      <c r="CC14" s="165"/>
      <c r="CD14" s="165"/>
      <c r="CE14" s="165"/>
      <c r="CF14" s="165"/>
      <c r="CG14" s="165"/>
      <c r="CH14" s="165"/>
      <c r="CI14" s="165"/>
      <c r="CJ14" s="165"/>
      <c r="CK14" s="165"/>
      <c r="CL14" s="165"/>
      <c r="CM14" s="165"/>
    </row>
    <row r="15" spans="1:91" outlineLevel="2">
      <c r="A15" s="152"/>
      <c r="B15" s="152" t="s">
        <v>1077</v>
      </c>
      <c r="C15" s="152">
        <v>3</v>
      </c>
      <c r="D15" s="153" t="s">
        <v>988</v>
      </c>
      <c r="E15" s="154"/>
      <c r="F15" s="154"/>
      <c r="G15" s="154" t="s">
        <v>1150</v>
      </c>
      <c r="H15" s="154"/>
      <c r="I15" s="154"/>
      <c r="J15" s="154"/>
      <c r="K15" s="154"/>
      <c r="L15" s="154"/>
      <c r="M15" s="155">
        <v>44871</v>
      </c>
      <c r="N15" s="155">
        <v>44904</v>
      </c>
      <c r="O15" s="154"/>
      <c r="P15" s="156">
        <v>50</v>
      </c>
      <c r="Q15" s="156">
        <v>50</v>
      </c>
      <c r="R15" s="157">
        <v>25</v>
      </c>
      <c r="S15" s="157">
        <v>0</v>
      </c>
      <c r="T15" s="155"/>
      <c r="U15" s="155"/>
      <c r="V15" s="158">
        <v>0</v>
      </c>
      <c r="W15" s="159">
        <v>0</v>
      </c>
      <c r="X15" s="160"/>
      <c r="Y15" s="154"/>
      <c r="Z15" s="161"/>
      <c r="AA15" s="162">
        <v>1</v>
      </c>
      <c r="AB15" s="163">
        <v>1</v>
      </c>
      <c r="AC15" s="164"/>
      <c r="AD15" s="165"/>
      <c r="AE15" s="165" t="str">
        <f t="shared" si="0"/>
        <v xml:space="preserve">100.00% </v>
      </c>
      <c r="AF15" s="165"/>
      <c r="AG15" s="165"/>
      <c r="AH15" s="165"/>
      <c r="AI15" s="165" t="str">
        <f>"      " &amp; "라즈베리파이" &amp; " " &amp; IF(M15="","",TEXT(M15,"M/D-")) &amp; IF(N15="","",TEXT(N15,"M/D")) &amp; " "</f>
        <v xml:space="preserve">      라즈베리파이 11/6-12/9 </v>
      </c>
      <c r="AJ15" s="165"/>
      <c r="AK15" s="165"/>
      <c r="AL15" s="165"/>
      <c r="AM15" s="165"/>
      <c r="AN15" s="165"/>
      <c r="AO15" s="165"/>
      <c r="AP15" s="165"/>
      <c r="AQ15" s="165"/>
      <c r="AR15" s="165"/>
      <c r="AS15" s="165"/>
      <c r="AT15" s="165"/>
      <c r="AU15" s="165"/>
      <c r="AV15" s="165"/>
      <c r="AW15" s="165"/>
      <c r="AX15" s="165"/>
      <c r="AY15" s="165"/>
      <c r="AZ15" s="165"/>
      <c r="BA15" s="165"/>
      <c r="BB15" s="165"/>
      <c r="BC15" s="165"/>
      <c r="BD15" s="165"/>
      <c r="BE15" s="165"/>
      <c r="BF15" s="165"/>
      <c r="BG15" s="165"/>
      <c r="BH15" s="165"/>
      <c r="BI15" s="165"/>
      <c r="BJ15" s="165"/>
      <c r="BK15" s="165"/>
      <c r="BL15" s="165"/>
      <c r="BM15" s="165"/>
      <c r="BN15" s="165"/>
      <c r="BO15" s="165"/>
      <c r="BP15" s="165"/>
      <c r="BQ15" s="165"/>
      <c r="BR15" s="165"/>
      <c r="BS15" s="165"/>
      <c r="BT15" s="165"/>
      <c r="BU15" s="165"/>
      <c r="BV15" s="165"/>
      <c r="BW15" s="165"/>
      <c r="BX15" s="165"/>
      <c r="BY15" s="165"/>
      <c r="BZ15" s="165"/>
      <c r="CA15" s="165"/>
      <c r="CB15" s="165"/>
      <c r="CC15" s="165"/>
      <c r="CD15" s="165"/>
      <c r="CE15" s="165"/>
      <c r="CF15" s="165"/>
      <c r="CG15" s="165"/>
      <c r="CH15" s="165"/>
      <c r="CI15" s="165"/>
      <c r="CJ15" s="165"/>
      <c r="CK15" s="165"/>
      <c r="CL15" s="165"/>
      <c r="CM15" s="165"/>
    </row>
    <row r="16" spans="1:91" outlineLevel="3">
      <c r="A16" s="152"/>
      <c r="B16" s="152"/>
      <c r="C16" s="152">
        <v>4</v>
      </c>
      <c r="D16" s="153" t="s">
        <v>1158</v>
      </c>
      <c r="E16" s="154"/>
      <c r="F16" s="154"/>
      <c r="G16" s="154"/>
      <c r="H16" s="154" t="s">
        <v>1151</v>
      </c>
      <c r="I16" s="154"/>
      <c r="J16" s="154"/>
      <c r="K16" s="154"/>
      <c r="L16" s="154"/>
      <c r="M16" s="155">
        <v>44871</v>
      </c>
      <c r="N16" s="155">
        <v>44904</v>
      </c>
      <c r="O16" s="154"/>
      <c r="P16" s="156">
        <v>25</v>
      </c>
      <c r="Q16" s="156">
        <v>25</v>
      </c>
      <c r="R16" s="157">
        <v>25</v>
      </c>
      <c r="S16" s="157">
        <v>0</v>
      </c>
      <c r="T16" s="155"/>
      <c r="U16" s="155"/>
      <c r="V16" s="158"/>
      <c r="W16" s="159">
        <v>0</v>
      </c>
      <c r="X16" s="160">
        <v>1</v>
      </c>
      <c r="Y16" s="154"/>
      <c r="Z16" s="161"/>
      <c r="AA16" s="162">
        <v>1</v>
      </c>
      <c r="AB16" s="163">
        <v>1</v>
      </c>
      <c r="AC16" s="164"/>
      <c r="AD16" s="165"/>
      <c r="AE16" s="165" t="str">
        <f t="shared" si="0"/>
        <v xml:space="preserve">100.00% </v>
      </c>
      <c r="AF16" s="165"/>
      <c r="AG16" s="165"/>
      <c r="AH16" s="165"/>
      <c r="AI16" s="165" t="str">
        <f>"      " &amp; "이미지 프로세싱" &amp; " " &amp; IF(M16="","",TEXT(M16,"M/D-")) &amp; IF(N16="","",TEXT(N16,"M/D")) &amp; " "</f>
        <v xml:space="preserve">      이미지 프로세싱 11/6-12/9 </v>
      </c>
      <c r="AJ16" s="165"/>
      <c r="AK16" s="165"/>
      <c r="AL16" s="165"/>
      <c r="AM16" s="165"/>
      <c r="AN16" s="165"/>
      <c r="AO16" s="165"/>
      <c r="AP16" s="165"/>
      <c r="AQ16" s="165"/>
      <c r="AR16" s="165"/>
      <c r="AS16" s="165"/>
      <c r="AT16" s="165"/>
      <c r="AU16" s="165"/>
      <c r="AV16" s="165"/>
      <c r="AW16" s="165"/>
      <c r="AX16" s="165"/>
      <c r="AY16" s="165"/>
      <c r="AZ16" s="165"/>
      <c r="BA16" s="165"/>
      <c r="BB16" s="165"/>
      <c r="BC16" s="165"/>
      <c r="BD16" s="165"/>
      <c r="BE16" s="165"/>
      <c r="BF16" s="165"/>
      <c r="BG16" s="165"/>
      <c r="BH16" s="165"/>
      <c r="BI16" s="165"/>
      <c r="BJ16" s="165"/>
      <c r="BK16" s="165"/>
      <c r="BL16" s="165"/>
      <c r="BM16" s="165"/>
      <c r="BN16" s="165"/>
      <c r="BO16" s="165"/>
      <c r="BP16" s="165"/>
      <c r="BQ16" s="165"/>
      <c r="BR16" s="165"/>
      <c r="BS16" s="165"/>
      <c r="BT16" s="165"/>
      <c r="BU16" s="165"/>
      <c r="BV16" s="165"/>
      <c r="BW16" s="165"/>
      <c r="BX16" s="165"/>
      <c r="BY16" s="165"/>
      <c r="BZ16" s="165"/>
      <c r="CA16" s="165"/>
      <c r="CB16" s="165"/>
      <c r="CC16" s="165"/>
      <c r="CD16" s="165"/>
      <c r="CE16" s="165"/>
      <c r="CF16" s="165"/>
      <c r="CG16" s="165"/>
      <c r="CH16" s="165"/>
      <c r="CI16" s="165"/>
      <c r="CJ16" s="165"/>
      <c r="CK16" s="165"/>
      <c r="CL16" s="165"/>
      <c r="CM16" s="165"/>
    </row>
    <row r="17" spans="1:91" outlineLevel="3">
      <c r="A17" s="152"/>
      <c r="B17" s="152"/>
      <c r="C17" s="152">
        <v>4</v>
      </c>
      <c r="D17" s="153" t="s">
        <v>1159</v>
      </c>
      <c r="E17" s="154"/>
      <c r="F17" s="154"/>
      <c r="G17" s="154"/>
      <c r="H17" s="154" t="s">
        <v>1152</v>
      </c>
      <c r="I17" s="154"/>
      <c r="J17" s="154"/>
      <c r="K17" s="154"/>
      <c r="L17" s="154"/>
      <c r="M17" s="155">
        <v>44871</v>
      </c>
      <c r="N17" s="155">
        <v>44904</v>
      </c>
      <c r="O17" s="154"/>
      <c r="P17" s="156">
        <v>25</v>
      </c>
      <c r="Q17" s="156">
        <v>25</v>
      </c>
      <c r="R17" s="157">
        <v>25</v>
      </c>
      <c r="S17" s="157">
        <v>0</v>
      </c>
      <c r="T17" s="155"/>
      <c r="U17" s="155"/>
      <c r="V17" s="158"/>
      <c r="W17" s="159">
        <v>0</v>
      </c>
      <c r="X17" s="160">
        <v>1</v>
      </c>
      <c r="Y17" s="154"/>
      <c r="Z17" s="161"/>
      <c r="AA17" s="162">
        <v>1</v>
      </c>
      <c r="AB17" s="163">
        <v>1</v>
      </c>
      <c r="AC17" s="164"/>
      <c r="AD17" s="165"/>
      <c r="AE17" s="165" t="str">
        <f t="shared" si="0"/>
        <v xml:space="preserve">100.00% </v>
      </c>
      <c r="AF17" s="165"/>
      <c r="AG17" s="165"/>
      <c r="AH17" s="165"/>
      <c r="AI17" s="165" t="str">
        <f>"      " &amp; "모터 제어" &amp; " " &amp; IF(M17="","",TEXT(M17,"M/D-")) &amp; IF(N17="","",TEXT(N17,"M/D")) &amp; " "</f>
        <v xml:space="preserve">      모터 제어 11/6-12/9 </v>
      </c>
      <c r="AJ17" s="165"/>
      <c r="AK17" s="165"/>
      <c r="AL17" s="165"/>
      <c r="AM17" s="165"/>
      <c r="AN17" s="165"/>
      <c r="AO17" s="165"/>
      <c r="AP17" s="165"/>
      <c r="AQ17" s="165"/>
      <c r="AR17" s="165"/>
      <c r="AS17" s="165"/>
      <c r="AT17" s="165"/>
      <c r="AU17" s="165"/>
      <c r="AV17" s="165"/>
      <c r="AW17" s="165"/>
      <c r="AX17" s="165"/>
      <c r="AY17" s="165"/>
      <c r="AZ17" s="165"/>
      <c r="BA17" s="165"/>
      <c r="BB17" s="165"/>
      <c r="BC17" s="165"/>
      <c r="BD17" s="165"/>
      <c r="BE17" s="165"/>
      <c r="BF17" s="165"/>
      <c r="BG17" s="165"/>
      <c r="BH17" s="165"/>
      <c r="BI17" s="165"/>
      <c r="BJ17" s="165"/>
      <c r="BK17" s="165"/>
      <c r="BL17" s="165"/>
      <c r="BM17" s="165"/>
      <c r="BN17" s="165"/>
      <c r="BO17" s="165"/>
      <c r="BP17" s="165"/>
      <c r="BQ17" s="165"/>
      <c r="BR17" s="165"/>
      <c r="BS17" s="165"/>
      <c r="BT17" s="165"/>
      <c r="BU17" s="165"/>
      <c r="BV17" s="165"/>
      <c r="BW17" s="165"/>
      <c r="BX17" s="165"/>
      <c r="BY17" s="165"/>
      <c r="BZ17" s="165"/>
      <c r="CA17" s="165"/>
      <c r="CB17" s="165"/>
      <c r="CC17" s="165"/>
      <c r="CD17" s="165"/>
      <c r="CE17" s="165"/>
      <c r="CF17" s="165"/>
      <c r="CG17" s="165"/>
      <c r="CH17" s="165"/>
      <c r="CI17" s="165"/>
      <c r="CJ17" s="165"/>
      <c r="CK17" s="165"/>
      <c r="CL17" s="165"/>
      <c r="CM17" s="165"/>
    </row>
    <row r="18" spans="1:91" outlineLevel="3">
      <c r="A18" s="152"/>
      <c r="B18" s="152"/>
      <c r="C18" s="152">
        <v>0</v>
      </c>
      <c r="D18" s="153"/>
      <c r="E18" s="154"/>
      <c r="F18" s="154"/>
      <c r="G18" s="154"/>
      <c r="H18" s="154"/>
      <c r="I18" s="154"/>
      <c r="J18" s="154"/>
      <c r="K18" s="154"/>
      <c r="L18" s="154"/>
      <c r="M18" s="155"/>
      <c r="N18" s="155"/>
      <c r="O18" s="154"/>
      <c r="P18" s="156"/>
      <c r="Q18" s="156"/>
      <c r="R18" s="157">
        <v>0</v>
      </c>
      <c r="S18" s="157">
        <v>0</v>
      </c>
      <c r="T18" s="155"/>
      <c r="U18" s="155"/>
      <c r="V18" s="158"/>
      <c r="W18" s="159">
        <v>0</v>
      </c>
      <c r="X18" s="160"/>
      <c r="Y18" s="154"/>
      <c r="Z18" s="161"/>
      <c r="AA18" s="162"/>
      <c r="AB18" s="163"/>
      <c r="AC18" s="164"/>
      <c r="AD18" s="165"/>
      <c r="AE18" s="165"/>
      <c r="AF18" s="165"/>
      <c r="AG18" s="165"/>
      <c r="AH18" s="165"/>
      <c r="AI18" s="165"/>
      <c r="AJ18" s="165"/>
      <c r="AK18" s="165"/>
      <c r="AL18" s="165"/>
      <c r="AM18" s="165"/>
      <c r="AN18" s="165"/>
      <c r="AO18" s="165"/>
      <c r="AP18" s="165"/>
      <c r="AQ18" s="165"/>
      <c r="AR18" s="165"/>
      <c r="AS18" s="165"/>
      <c r="AT18" s="165"/>
      <c r="AU18" s="165"/>
      <c r="AV18" s="165"/>
      <c r="AW18" s="165"/>
      <c r="AX18" s="165"/>
      <c r="AY18" s="165"/>
      <c r="AZ18" s="165"/>
      <c r="BA18" s="165"/>
      <c r="BB18" s="165"/>
      <c r="BC18" s="165"/>
      <c r="BD18" s="165"/>
      <c r="BE18" s="165"/>
      <c r="BF18" s="165"/>
      <c r="BG18" s="165"/>
      <c r="BH18" s="165"/>
      <c r="BI18" s="165"/>
      <c r="BJ18" s="165"/>
      <c r="BK18" s="165"/>
      <c r="BL18" s="165"/>
      <c r="BM18" s="165"/>
      <c r="BN18" s="165"/>
      <c r="BO18" s="165"/>
      <c r="BP18" s="165"/>
      <c r="BQ18" s="165"/>
      <c r="BR18" s="165"/>
      <c r="BS18" s="165"/>
      <c r="BT18" s="165"/>
      <c r="BU18" s="165"/>
      <c r="BV18" s="165"/>
      <c r="BW18" s="165"/>
      <c r="BX18" s="165"/>
      <c r="BY18" s="165"/>
      <c r="BZ18" s="165"/>
      <c r="CA18" s="165"/>
      <c r="CB18" s="165"/>
      <c r="CC18" s="165"/>
      <c r="CD18" s="165"/>
      <c r="CE18" s="165"/>
      <c r="CF18" s="165"/>
      <c r="CG18" s="165"/>
      <c r="CH18" s="165"/>
      <c r="CI18" s="165"/>
      <c r="CJ18" s="165"/>
      <c r="CK18" s="165"/>
      <c r="CL18" s="165"/>
      <c r="CM18" s="165"/>
    </row>
    <row r="19" spans="1:91" outlineLevel="1">
      <c r="A19" s="152"/>
      <c r="B19" s="152" t="s">
        <v>1077</v>
      </c>
      <c r="C19" s="152">
        <v>2</v>
      </c>
      <c r="D19" s="153" t="s">
        <v>1085</v>
      </c>
      <c r="E19" s="154"/>
      <c r="F19" s="154" t="s">
        <v>1160</v>
      </c>
      <c r="G19" s="154"/>
      <c r="H19" s="154"/>
      <c r="I19" s="154"/>
      <c r="J19" s="154"/>
      <c r="K19" s="154"/>
      <c r="L19" s="154"/>
      <c r="M19" s="155">
        <v>44905</v>
      </c>
      <c r="N19" s="155">
        <v>44911</v>
      </c>
      <c r="O19" s="154"/>
      <c r="P19" s="156">
        <v>5</v>
      </c>
      <c r="Q19" s="156">
        <v>5</v>
      </c>
      <c r="R19" s="157">
        <v>5</v>
      </c>
      <c r="S19" s="157">
        <v>0</v>
      </c>
      <c r="T19" s="155"/>
      <c r="U19" s="155"/>
      <c r="V19" s="158">
        <v>0</v>
      </c>
      <c r="W19" s="159">
        <v>0</v>
      </c>
      <c r="X19" s="160"/>
      <c r="Y19" s="154"/>
      <c r="Z19" s="161"/>
      <c r="AA19" s="162">
        <v>1</v>
      </c>
      <c r="AB19" s="163">
        <v>1</v>
      </c>
      <c r="AC19" s="164"/>
      <c r="AD19" s="165"/>
      <c r="AE19" s="165"/>
      <c r="AF19" s="165"/>
      <c r="AG19" s="165"/>
      <c r="AH19" s="165"/>
      <c r="AI19" s="165" t="str">
        <f>"      " &amp; TEXT(AB19,"#0.00%") &amp; " " &amp; "프로젝트 검증" &amp; " " &amp; IF(M19="","",TEXT(M19,"M/D-")) &amp; IF(N19="","",TEXT(N19,"M/D")) &amp; " "</f>
        <v xml:space="preserve">      100.00% 프로젝트 검증 12/10-12/16 </v>
      </c>
      <c r="AJ19" s="165"/>
      <c r="AK19" s="165"/>
      <c r="AL19" s="165"/>
      <c r="AM19" s="165"/>
      <c r="AN19" s="165"/>
      <c r="AO19" s="165"/>
      <c r="AP19" s="165"/>
      <c r="AQ19" s="165"/>
      <c r="AR19" s="165"/>
      <c r="AS19" s="165"/>
      <c r="AT19" s="165"/>
      <c r="AU19" s="165"/>
      <c r="AV19" s="165"/>
      <c r="AW19" s="165"/>
      <c r="AX19" s="165"/>
      <c r="AY19" s="165"/>
      <c r="AZ19" s="165"/>
      <c r="BA19" s="165"/>
      <c r="BB19" s="165"/>
      <c r="BC19" s="165"/>
      <c r="BD19" s="165"/>
      <c r="BE19" s="165"/>
      <c r="BF19" s="165"/>
      <c r="BG19" s="165"/>
      <c r="BH19" s="165"/>
      <c r="BI19" s="165"/>
      <c r="BJ19" s="165"/>
      <c r="BK19" s="165"/>
      <c r="BL19" s="165"/>
      <c r="BM19" s="165"/>
      <c r="BN19" s="165"/>
      <c r="BO19" s="165"/>
      <c r="BP19" s="165"/>
      <c r="BQ19" s="165"/>
      <c r="BR19" s="165"/>
      <c r="BS19" s="165"/>
      <c r="BT19" s="165"/>
      <c r="BU19" s="165"/>
      <c r="BV19" s="165"/>
      <c r="BW19" s="165"/>
      <c r="BX19" s="165"/>
      <c r="BY19" s="165"/>
      <c r="BZ19" s="165"/>
      <c r="CA19" s="165"/>
      <c r="CB19" s="165"/>
      <c r="CC19" s="165"/>
      <c r="CD19" s="165"/>
      <c r="CE19" s="165"/>
      <c r="CF19" s="165"/>
      <c r="CG19" s="165"/>
      <c r="CH19" s="165"/>
      <c r="CI19" s="165"/>
      <c r="CJ19" s="165"/>
      <c r="CK19" s="165"/>
      <c r="CL19" s="165"/>
      <c r="CM19" s="165"/>
    </row>
    <row r="20" spans="1:91" outlineLevel="2">
      <c r="A20" s="152"/>
      <c r="B20" s="152"/>
      <c r="C20" s="152">
        <v>3</v>
      </c>
      <c r="D20" s="153" t="s">
        <v>993</v>
      </c>
      <c r="E20" s="154"/>
      <c r="F20" s="154"/>
      <c r="G20" s="154" t="s">
        <v>1161</v>
      </c>
      <c r="H20" s="154"/>
      <c r="I20" s="154"/>
      <c r="J20" s="154"/>
      <c r="K20" s="154"/>
      <c r="L20" s="154"/>
      <c r="M20" s="155">
        <v>44905</v>
      </c>
      <c r="N20" s="155">
        <v>44911</v>
      </c>
      <c r="O20" s="154"/>
      <c r="P20" s="156">
        <v>5</v>
      </c>
      <c r="Q20" s="156">
        <v>5</v>
      </c>
      <c r="R20" s="157">
        <v>5</v>
      </c>
      <c r="S20" s="157">
        <v>0</v>
      </c>
      <c r="T20" s="155"/>
      <c r="U20" s="155"/>
      <c r="V20" s="158"/>
      <c r="W20" s="159">
        <v>0</v>
      </c>
      <c r="X20" s="160">
        <v>1</v>
      </c>
      <c r="Y20" s="154"/>
      <c r="Z20" s="161"/>
      <c r="AA20" s="162">
        <v>1</v>
      </c>
      <c r="AB20" s="163">
        <v>1</v>
      </c>
      <c r="AC20" s="164"/>
      <c r="AD20" s="165"/>
      <c r="AE20" s="165"/>
      <c r="AF20" s="165"/>
      <c r="AG20" s="165"/>
      <c r="AH20" s="165"/>
      <c r="AI20" s="165" t="str">
        <f>"      " &amp; TEXT(AB20,"#0.00%") &amp; " " &amp; "전체 기능 검증" &amp; " " &amp; IF(M20="","",TEXT(M20,"M/D-")) &amp; IF(N20="","",TEXT(N20,"M/D")) &amp; " "</f>
        <v xml:space="preserve">      100.00% 전체 기능 검증 12/10-12/16 </v>
      </c>
      <c r="AJ20" s="165"/>
      <c r="AK20" s="165"/>
      <c r="AL20" s="165"/>
      <c r="AM20" s="165"/>
      <c r="AN20" s="165"/>
      <c r="AO20" s="165"/>
      <c r="AP20" s="165"/>
      <c r="AQ20" s="165"/>
      <c r="AR20" s="165"/>
      <c r="AS20" s="165"/>
      <c r="AT20" s="165"/>
      <c r="AU20" s="165"/>
      <c r="AV20" s="165"/>
      <c r="AW20" s="165"/>
      <c r="AX20" s="165"/>
      <c r="AY20" s="165"/>
      <c r="AZ20" s="165"/>
      <c r="BA20" s="165"/>
      <c r="BB20" s="165"/>
      <c r="BC20" s="165"/>
      <c r="BD20" s="165"/>
      <c r="BE20" s="165"/>
      <c r="BF20" s="165"/>
      <c r="BG20" s="165"/>
      <c r="BH20" s="165"/>
      <c r="BI20" s="165"/>
      <c r="BJ20" s="165"/>
      <c r="BK20" s="165"/>
      <c r="BL20" s="165"/>
      <c r="BM20" s="165"/>
      <c r="BN20" s="165"/>
      <c r="BO20" s="165"/>
      <c r="BP20" s="165"/>
      <c r="BQ20" s="165"/>
      <c r="BR20" s="165"/>
      <c r="BS20" s="165"/>
      <c r="BT20" s="165"/>
      <c r="BU20" s="165"/>
      <c r="BV20" s="165"/>
      <c r="BW20" s="165"/>
      <c r="BX20" s="165"/>
      <c r="BY20" s="165"/>
      <c r="BZ20" s="165"/>
      <c r="CA20" s="165"/>
      <c r="CB20" s="165"/>
      <c r="CC20" s="165"/>
      <c r="CD20" s="165"/>
      <c r="CE20" s="165"/>
      <c r="CF20" s="165"/>
      <c r="CG20" s="165"/>
      <c r="CH20" s="165"/>
      <c r="CI20" s="165"/>
      <c r="CJ20" s="165"/>
      <c r="CK20" s="165"/>
      <c r="CL20" s="165"/>
      <c r="CM20" s="165"/>
    </row>
    <row r="21" spans="1:91" outlineLevel="2">
      <c r="A21" s="152"/>
      <c r="B21" s="152"/>
      <c r="C21" s="152">
        <v>0</v>
      </c>
      <c r="D21" s="153"/>
      <c r="E21" s="154"/>
      <c r="F21" s="154"/>
      <c r="G21" s="154"/>
      <c r="H21" s="154"/>
      <c r="I21" s="154"/>
      <c r="J21" s="154"/>
      <c r="K21" s="154"/>
      <c r="L21" s="154"/>
      <c r="M21" s="155"/>
      <c r="N21" s="155"/>
      <c r="O21" s="154"/>
      <c r="P21" s="156"/>
      <c r="Q21" s="156"/>
      <c r="R21" s="157">
        <v>0</v>
      </c>
      <c r="S21" s="157">
        <v>0</v>
      </c>
      <c r="T21" s="155"/>
      <c r="U21" s="155"/>
      <c r="V21" s="158"/>
      <c r="W21" s="159">
        <v>0</v>
      </c>
      <c r="X21" s="160"/>
      <c r="Y21" s="154"/>
      <c r="Z21" s="161"/>
      <c r="AA21" s="162"/>
      <c r="AB21" s="163"/>
      <c r="AC21" s="164"/>
      <c r="AD21" s="165"/>
      <c r="AE21" s="165"/>
      <c r="AF21" s="165"/>
      <c r="AG21" s="165"/>
      <c r="AH21" s="165"/>
      <c r="AI21" s="165"/>
      <c r="AJ21" s="165"/>
      <c r="AK21" s="165"/>
      <c r="AL21" s="165"/>
      <c r="AM21" s="165"/>
      <c r="AN21" s="165"/>
      <c r="AO21" s="165"/>
      <c r="AP21" s="165"/>
      <c r="AQ21" s="165"/>
      <c r="AR21" s="165"/>
      <c r="AS21" s="165"/>
      <c r="AT21" s="165"/>
      <c r="AU21" s="165"/>
      <c r="AV21" s="165"/>
      <c r="AW21" s="165"/>
      <c r="AX21" s="165"/>
      <c r="AY21" s="165"/>
      <c r="AZ21" s="165"/>
      <c r="BA21" s="165"/>
      <c r="BB21" s="165"/>
      <c r="BC21" s="165"/>
      <c r="BD21" s="165"/>
      <c r="BE21" s="165"/>
      <c r="BF21" s="165"/>
      <c r="BG21" s="165"/>
      <c r="BH21" s="165"/>
      <c r="BI21" s="165"/>
      <c r="BJ21" s="165"/>
      <c r="BK21" s="165"/>
      <c r="BL21" s="165"/>
      <c r="BM21" s="165"/>
      <c r="BN21" s="165"/>
      <c r="BO21" s="165"/>
      <c r="BP21" s="165"/>
      <c r="BQ21" s="165"/>
      <c r="BR21" s="165"/>
      <c r="BS21" s="165"/>
      <c r="BT21" s="165"/>
      <c r="BU21" s="165"/>
      <c r="BV21" s="165"/>
      <c r="BW21" s="165"/>
      <c r="BX21" s="165"/>
      <c r="BY21" s="165"/>
      <c r="BZ21" s="165"/>
      <c r="CA21" s="165"/>
      <c r="CB21" s="165"/>
      <c r="CC21" s="165"/>
      <c r="CD21" s="165"/>
      <c r="CE21" s="165"/>
      <c r="CF21" s="165"/>
      <c r="CG21" s="165"/>
      <c r="CH21" s="165"/>
      <c r="CI21" s="165"/>
      <c r="CJ21" s="165"/>
      <c r="CK21" s="165"/>
      <c r="CL21" s="165"/>
      <c r="CM21" s="165"/>
    </row>
    <row r="22" spans="1:91" outlineLevel="1">
      <c r="A22" s="152"/>
      <c r="B22" s="152" t="s">
        <v>1077</v>
      </c>
      <c r="C22" s="152">
        <v>2</v>
      </c>
      <c r="D22" s="153" t="s">
        <v>1162</v>
      </c>
      <c r="E22" s="154"/>
      <c r="F22" s="154" t="s">
        <v>1086</v>
      </c>
      <c r="G22" s="154"/>
      <c r="H22" s="154"/>
      <c r="I22" s="154"/>
      <c r="J22" s="154"/>
      <c r="K22" s="154"/>
      <c r="L22" s="154"/>
      <c r="M22" s="155">
        <v>44912</v>
      </c>
      <c r="N22" s="155">
        <v>44912</v>
      </c>
      <c r="O22" s="154"/>
      <c r="P22" s="156">
        <v>0</v>
      </c>
      <c r="Q22" s="156">
        <v>0</v>
      </c>
      <c r="R22" s="157">
        <v>0</v>
      </c>
      <c r="S22" s="157">
        <v>0</v>
      </c>
      <c r="T22" s="155"/>
      <c r="U22" s="155"/>
      <c r="V22" s="158">
        <v>0</v>
      </c>
      <c r="W22" s="159">
        <v>0</v>
      </c>
      <c r="X22" s="160"/>
      <c r="Y22" s="154"/>
      <c r="Z22" s="161"/>
      <c r="AA22" s="162">
        <v>0</v>
      </c>
      <c r="AB22" s="163">
        <v>0</v>
      </c>
      <c r="AC22" s="164"/>
      <c r="AD22" s="165"/>
      <c r="AE22" s="165"/>
      <c r="AF22" s="165"/>
      <c r="AG22" s="165"/>
      <c r="AH22" s="165"/>
      <c r="AI22" s="165"/>
      <c r="AJ22" s="165" t="str">
        <f>"      " &amp; TEXT(AB22,"#0.00%") &amp; " " &amp; "프로젝트 종료" &amp; " " &amp; IF(M22="","",TEXT(M22,"M/D-")) &amp; IF(N22="","",TEXT(N22,"M/D")) &amp; " "</f>
        <v xml:space="preserve">      0.00% 프로젝트 종료 12/17-12/17 </v>
      </c>
      <c r="AK22" s="165"/>
      <c r="AL22" s="165"/>
      <c r="AM22" s="165"/>
      <c r="AN22" s="165"/>
      <c r="AO22" s="165"/>
      <c r="AP22" s="165"/>
      <c r="AQ22" s="165"/>
      <c r="AR22" s="165"/>
      <c r="AS22" s="165"/>
      <c r="AT22" s="165"/>
      <c r="AU22" s="165"/>
      <c r="AV22" s="165"/>
      <c r="AW22" s="165"/>
      <c r="AX22" s="165"/>
      <c r="AY22" s="165"/>
      <c r="AZ22" s="165"/>
      <c r="BA22" s="165"/>
      <c r="BB22" s="165"/>
      <c r="BC22" s="165"/>
      <c r="BD22" s="165"/>
      <c r="BE22" s="165"/>
      <c r="BF22" s="165"/>
      <c r="BG22" s="165"/>
      <c r="BH22" s="165"/>
      <c r="BI22" s="165"/>
      <c r="BJ22" s="165"/>
      <c r="BK22" s="165"/>
      <c r="BL22" s="165"/>
      <c r="BM22" s="165"/>
      <c r="BN22" s="165"/>
      <c r="BO22" s="165"/>
      <c r="BP22" s="165"/>
      <c r="BQ22" s="165"/>
      <c r="BR22" s="165"/>
      <c r="BS22" s="165"/>
      <c r="BT22" s="165"/>
      <c r="BU22" s="165"/>
      <c r="BV22" s="165"/>
      <c r="BW22" s="165"/>
      <c r="BX22" s="165"/>
      <c r="BY22" s="165"/>
      <c r="BZ22" s="165"/>
      <c r="CA22" s="165"/>
      <c r="CB22" s="165"/>
      <c r="CC22" s="165"/>
      <c r="CD22" s="165"/>
      <c r="CE22" s="165"/>
      <c r="CF22" s="165"/>
      <c r="CG22" s="165"/>
      <c r="CH22" s="165"/>
      <c r="CI22" s="165"/>
      <c r="CJ22" s="165"/>
      <c r="CK22" s="165"/>
      <c r="CL22" s="165"/>
      <c r="CM22" s="165"/>
    </row>
    <row r="23" spans="1:91" outlineLevel="2">
      <c r="A23" s="152"/>
      <c r="B23" s="152"/>
      <c r="C23" s="152">
        <v>3</v>
      </c>
      <c r="D23" s="153" t="s">
        <v>1163</v>
      </c>
      <c r="E23" s="154"/>
      <c r="F23" s="154"/>
      <c r="G23" s="154" t="s">
        <v>1153</v>
      </c>
      <c r="H23" s="154"/>
      <c r="I23" s="154"/>
      <c r="J23" s="154"/>
      <c r="K23" s="154"/>
      <c r="L23" s="154"/>
      <c r="M23" s="155">
        <v>44912</v>
      </c>
      <c r="N23" s="155">
        <v>44912</v>
      </c>
      <c r="O23" s="154"/>
      <c r="P23" s="156">
        <v>0</v>
      </c>
      <c r="Q23" s="156">
        <v>0</v>
      </c>
      <c r="R23" s="157">
        <v>0</v>
      </c>
      <c r="S23" s="157">
        <v>0</v>
      </c>
      <c r="T23" s="155"/>
      <c r="U23" s="155"/>
      <c r="V23" s="158"/>
      <c r="W23" s="159">
        <v>0</v>
      </c>
      <c r="X23" s="160">
        <v>1</v>
      </c>
      <c r="Y23" s="154"/>
      <c r="Z23" s="161"/>
      <c r="AA23" s="162">
        <v>0</v>
      </c>
      <c r="AB23" s="163">
        <v>0</v>
      </c>
      <c r="AC23" s="164"/>
      <c r="AD23" s="165"/>
      <c r="AE23" s="165"/>
      <c r="AF23" s="165"/>
      <c r="AG23" s="165"/>
      <c r="AH23" s="165"/>
      <c r="AI23" s="165"/>
      <c r="AJ23" s="165" t="str">
        <f>"      " &amp; TEXT(AB23,"#0.00%") &amp; " " &amp; "발표" &amp; " " &amp; IF(M23="","",TEXT(M23,"M/D-")) &amp; IF(N23="","",TEXT(N23,"M/D")) &amp; " "</f>
        <v xml:space="preserve">      0.00% 발표 12/17-12/17 </v>
      </c>
      <c r="AK23" s="165"/>
      <c r="AL23" s="165"/>
      <c r="AM23" s="165"/>
      <c r="AN23" s="165"/>
      <c r="AO23" s="165"/>
      <c r="AP23" s="165"/>
      <c r="AQ23" s="165"/>
      <c r="AR23" s="165"/>
      <c r="AS23" s="165"/>
      <c r="AT23" s="165"/>
      <c r="AU23" s="165"/>
      <c r="AV23" s="165"/>
      <c r="AW23" s="165"/>
      <c r="AX23" s="165"/>
      <c r="AY23" s="165"/>
      <c r="AZ23" s="165"/>
      <c r="BA23" s="165"/>
      <c r="BB23" s="165"/>
      <c r="BC23" s="165"/>
      <c r="BD23" s="165"/>
      <c r="BE23" s="165"/>
      <c r="BF23" s="165"/>
      <c r="BG23" s="165"/>
      <c r="BH23" s="165"/>
      <c r="BI23" s="165"/>
      <c r="BJ23" s="165"/>
      <c r="BK23" s="165"/>
      <c r="BL23" s="165"/>
      <c r="BM23" s="165"/>
      <c r="BN23" s="165"/>
      <c r="BO23" s="165"/>
      <c r="BP23" s="165"/>
      <c r="BQ23" s="165"/>
      <c r="BR23" s="165"/>
      <c r="BS23" s="165"/>
      <c r="BT23" s="165"/>
      <c r="BU23" s="165"/>
      <c r="BV23" s="165"/>
      <c r="BW23" s="165"/>
      <c r="BX23" s="165"/>
      <c r="BY23" s="165"/>
      <c r="BZ23" s="165"/>
      <c r="CA23" s="165"/>
      <c r="CB23" s="165"/>
      <c r="CC23" s="165"/>
      <c r="CD23" s="165"/>
      <c r="CE23" s="165"/>
      <c r="CF23" s="165"/>
      <c r="CG23" s="165"/>
      <c r="CH23" s="165"/>
      <c r="CI23" s="165"/>
      <c r="CJ23" s="165"/>
      <c r="CK23" s="165"/>
      <c r="CL23" s="165"/>
      <c r="CM23" s="165"/>
    </row>
    <row r="24" spans="1:91">
      <c r="A24" s="167"/>
      <c r="B24" s="167"/>
      <c r="C24" s="167"/>
      <c r="D24" s="168"/>
      <c r="E24" s="169"/>
      <c r="F24" s="169"/>
      <c r="G24" s="169"/>
      <c r="H24" s="169"/>
      <c r="I24" s="169"/>
      <c r="J24" s="169"/>
      <c r="K24" s="169"/>
      <c r="L24" s="169"/>
      <c r="M24" s="170"/>
      <c r="N24" s="170"/>
      <c r="O24" s="169"/>
      <c r="P24" s="171"/>
      <c r="Q24" s="171"/>
      <c r="R24" s="172"/>
      <c r="S24" s="172"/>
      <c r="T24" s="170"/>
      <c r="U24" s="170"/>
      <c r="V24" s="173"/>
      <c r="W24" s="174"/>
      <c r="X24" s="175"/>
      <c r="Y24" s="169"/>
      <c r="Z24" s="176"/>
      <c r="AA24" s="177"/>
      <c r="AB24" s="178"/>
      <c r="AC24" s="179"/>
      <c r="AD24" s="179"/>
      <c r="AE24" s="179"/>
      <c r="AF24" s="179"/>
      <c r="AG24" s="179"/>
      <c r="AH24" s="179"/>
      <c r="AI24" s="179"/>
      <c r="AJ24" s="179"/>
      <c r="AK24" s="179"/>
      <c r="AL24" s="179"/>
      <c r="AM24" s="179"/>
      <c r="AN24" s="179"/>
      <c r="AO24" s="179"/>
      <c r="AP24" s="179"/>
      <c r="AQ24" s="179"/>
      <c r="AR24" s="179"/>
      <c r="AS24" s="179"/>
      <c r="AT24" s="179"/>
      <c r="AU24" s="179"/>
      <c r="AV24" s="179"/>
      <c r="AW24" s="179"/>
      <c r="AX24" s="179"/>
      <c r="AY24" s="179"/>
      <c r="AZ24" s="179"/>
      <c r="BA24" s="179"/>
      <c r="BB24" s="179"/>
      <c r="BC24" s="179"/>
      <c r="BD24" s="179"/>
      <c r="BE24" s="179"/>
      <c r="BF24" s="179"/>
      <c r="BG24" s="179"/>
      <c r="BH24" s="179"/>
      <c r="BI24" s="179"/>
      <c r="BJ24" s="179"/>
      <c r="BK24" s="179"/>
      <c r="BL24" s="179"/>
      <c r="BM24" s="179"/>
      <c r="BN24" s="179"/>
      <c r="BO24" s="179"/>
      <c r="BP24" s="179"/>
      <c r="BQ24" s="179"/>
      <c r="BR24" s="179"/>
      <c r="BS24" s="179"/>
      <c r="BT24" s="179"/>
      <c r="BU24" s="179"/>
      <c r="BV24" s="179"/>
      <c r="BW24" s="179"/>
      <c r="BX24" s="179"/>
      <c r="BY24" s="179"/>
      <c r="BZ24" s="179"/>
      <c r="CA24" s="179"/>
      <c r="CB24" s="179"/>
      <c r="CC24" s="179"/>
      <c r="CD24" s="179"/>
      <c r="CE24" s="179"/>
      <c r="CF24" s="179"/>
      <c r="CG24" s="179"/>
      <c r="CH24" s="179"/>
      <c r="CI24" s="179"/>
      <c r="CJ24" s="179"/>
      <c r="CK24" s="179"/>
      <c r="CL24" s="179"/>
      <c r="CM24" s="179"/>
    </row>
    <row r="25" spans="1:91">
      <c r="A25" s="152"/>
      <c r="B25" s="152"/>
      <c r="C25" s="152"/>
      <c r="D25" s="153"/>
      <c r="E25" s="154"/>
      <c r="F25" s="154"/>
      <c r="G25" s="154"/>
      <c r="H25" s="154"/>
      <c r="I25" s="154"/>
      <c r="J25" s="154"/>
      <c r="K25" s="154"/>
      <c r="L25" s="154"/>
      <c r="M25" s="155"/>
      <c r="N25" s="155"/>
      <c r="O25" s="154"/>
      <c r="P25" s="156"/>
      <c r="Q25" s="156"/>
      <c r="R25" s="157"/>
      <c r="S25" s="157"/>
      <c r="T25" s="155"/>
      <c r="U25" s="155"/>
      <c r="V25" s="158"/>
      <c r="W25" s="159"/>
      <c r="X25" s="160"/>
      <c r="Y25" s="154"/>
      <c r="Z25" s="161"/>
      <c r="AA25" s="162"/>
      <c r="AB25" s="163"/>
    </row>
    <row r="26" spans="1:91">
      <c r="A26" s="152"/>
      <c r="B26" s="152"/>
      <c r="C26" s="152"/>
      <c r="D26" s="153"/>
      <c r="E26" s="154"/>
      <c r="F26" s="154"/>
      <c r="G26" s="154"/>
      <c r="H26" s="154"/>
      <c r="I26" s="154"/>
      <c r="J26" s="154"/>
      <c r="K26" s="154"/>
      <c r="L26" s="154"/>
      <c r="M26" s="155"/>
      <c r="N26" s="155"/>
      <c r="O26" s="154"/>
      <c r="P26" s="156"/>
      <c r="Q26" s="156"/>
      <c r="R26" s="157"/>
      <c r="S26" s="157"/>
      <c r="T26" s="155"/>
      <c r="U26" s="155"/>
      <c r="V26" s="158"/>
      <c r="W26" s="159"/>
      <c r="X26" s="160"/>
      <c r="Y26" s="154"/>
      <c r="Z26" s="161"/>
      <c r="AA26" s="162"/>
      <c r="AB26" s="163"/>
    </row>
    <row r="27" spans="1:91">
      <c r="A27" s="152"/>
      <c r="B27" s="152"/>
      <c r="C27" s="152"/>
      <c r="D27" s="153"/>
      <c r="E27" s="154"/>
      <c r="F27" s="154"/>
      <c r="G27" s="154"/>
      <c r="H27" s="154"/>
      <c r="I27" s="154"/>
      <c r="J27" s="154"/>
      <c r="K27" s="154"/>
      <c r="L27" s="154"/>
      <c r="M27" s="155"/>
      <c r="N27" s="155"/>
      <c r="O27" s="154"/>
      <c r="P27" s="156"/>
      <c r="Q27" s="156"/>
      <c r="R27" s="157"/>
      <c r="S27" s="157"/>
      <c r="T27" s="155"/>
      <c r="U27" s="155"/>
      <c r="V27" s="158"/>
      <c r="W27" s="159"/>
      <c r="X27" s="160"/>
      <c r="Y27" s="154"/>
      <c r="Z27" s="161"/>
      <c r="AA27" s="162"/>
      <c r="AB27" s="163"/>
    </row>
    <row r="28" spans="1:91">
      <c r="A28" s="152"/>
      <c r="B28" s="152"/>
      <c r="C28" s="152"/>
      <c r="D28" s="153"/>
      <c r="E28" s="154"/>
      <c r="F28" s="154"/>
      <c r="G28" s="154"/>
      <c r="H28" s="154"/>
      <c r="I28" s="154"/>
      <c r="J28" s="154"/>
      <c r="K28" s="154"/>
      <c r="L28" s="154"/>
      <c r="M28" s="155"/>
      <c r="N28" s="155"/>
      <c r="O28" s="154"/>
      <c r="P28" s="156"/>
      <c r="Q28" s="156"/>
      <c r="R28" s="157"/>
      <c r="S28" s="157"/>
      <c r="T28" s="155"/>
      <c r="U28" s="155"/>
      <c r="V28" s="158"/>
      <c r="W28" s="159"/>
      <c r="X28" s="160"/>
      <c r="Y28" s="154"/>
      <c r="Z28" s="161"/>
      <c r="AA28" s="162"/>
      <c r="AB28" s="163"/>
    </row>
    <row r="29" spans="1:91">
      <c r="A29" s="152"/>
      <c r="B29" s="152"/>
      <c r="C29" s="152"/>
      <c r="D29" s="153"/>
      <c r="E29" s="154"/>
      <c r="F29" s="154"/>
      <c r="G29" s="154"/>
      <c r="H29" s="154"/>
      <c r="I29" s="154"/>
      <c r="J29" s="154"/>
      <c r="K29" s="154"/>
      <c r="L29" s="154"/>
      <c r="M29" s="155"/>
      <c r="N29" s="155"/>
      <c r="O29" s="154"/>
      <c r="P29" s="156"/>
      <c r="Q29" s="156"/>
      <c r="R29" s="157"/>
      <c r="S29" s="157"/>
      <c r="T29" s="155"/>
      <c r="U29" s="155"/>
      <c r="V29" s="158"/>
      <c r="W29" s="159"/>
      <c r="X29" s="160"/>
      <c r="Y29" s="154"/>
      <c r="Z29" s="161"/>
      <c r="AA29" s="162"/>
      <c r="AB29" s="163"/>
    </row>
    <row r="30" spans="1:91">
      <c r="A30" s="152"/>
      <c r="B30" s="152"/>
      <c r="C30" s="152"/>
      <c r="D30" s="153"/>
      <c r="E30" s="154"/>
      <c r="F30" s="154"/>
      <c r="G30" s="154"/>
      <c r="H30" s="154"/>
      <c r="I30" s="154"/>
      <c r="J30" s="154"/>
      <c r="K30" s="154"/>
      <c r="L30" s="154"/>
      <c r="M30" s="155"/>
      <c r="N30" s="155"/>
      <c r="O30" s="154"/>
      <c r="P30" s="156"/>
      <c r="Q30" s="156"/>
      <c r="R30" s="157"/>
      <c r="S30" s="157"/>
      <c r="T30" s="155"/>
      <c r="U30" s="155"/>
      <c r="V30" s="158"/>
      <c r="W30" s="159"/>
      <c r="X30" s="160"/>
      <c r="Y30" s="154"/>
      <c r="Z30" s="161"/>
      <c r="AA30" s="162"/>
      <c r="AB30" s="163"/>
    </row>
    <row r="31" spans="1:91">
      <c r="A31" s="152"/>
      <c r="B31" s="152"/>
      <c r="C31" s="152"/>
      <c r="D31" s="153"/>
      <c r="E31" s="154"/>
      <c r="F31" s="154"/>
      <c r="G31" s="154"/>
      <c r="H31" s="154"/>
      <c r="I31" s="154"/>
      <c r="J31" s="154"/>
      <c r="K31" s="154"/>
      <c r="L31" s="154"/>
      <c r="M31" s="155"/>
      <c r="N31" s="155"/>
      <c r="O31" s="154"/>
      <c r="P31" s="156"/>
      <c r="Q31" s="156"/>
      <c r="R31" s="157"/>
      <c r="S31" s="157"/>
      <c r="T31" s="155"/>
      <c r="U31" s="155"/>
      <c r="V31" s="158"/>
      <c r="W31" s="159"/>
      <c r="X31" s="160"/>
      <c r="Y31" s="154"/>
      <c r="Z31" s="161"/>
      <c r="AA31" s="162"/>
      <c r="AB31" s="163"/>
    </row>
    <row r="32" spans="1:91">
      <c r="A32" s="152"/>
      <c r="B32" s="152"/>
      <c r="C32" s="152"/>
      <c r="D32" s="153"/>
      <c r="E32" s="154"/>
      <c r="F32" s="154"/>
      <c r="G32" s="154"/>
      <c r="H32" s="154"/>
      <c r="I32" s="154"/>
      <c r="J32" s="154"/>
      <c r="K32" s="154"/>
      <c r="L32" s="154"/>
      <c r="M32" s="155"/>
      <c r="N32" s="155"/>
      <c r="O32" s="154"/>
      <c r="P32" s="156"/>
      <c r="Q32" s="156"/>
      <c r="R32" s="157"/>
      <c r="S32" s="157"/>
      <c r="T32" s="155"/>
      <c r="U32" s="155"/>
      <c r="V32" s="158"/>
      <c r="W32" s="159"/>
      <c r="X32" s="160"/>
      <c r="Y32" s="154"/>
      <c r="Z32" s="161"/>
      <c r="AA32" s="162"/>
      <c r="AB32" s="163"/>
    </row>
    <row r="33" spans="1:28">
      <c r="A33" s="152"/>
      <c r="B33" s="152"/>
      <c r="C33" s="152"/>
      <c r="D33" s="153"/>
      <c r="E33" s="154"/>
      <c r="F33" s="154"/>
      <c r="G33" s="154"/>
      <c r="H33" s="154"/>
      <c r="I33" s="154"/>
      <c r="J33" s="154"/>
      <c r="K33" s="154"/>
      <c r="L33" s="154"/>
      <c r="M33" s="155"/>
      <c r="N33" s="155"/>
      <c r="O33" s="154"/>
      <c r="P33" s="156"/>
      <c r="Q33" s="156"/>
      <c r="R33" s="157"/>
      <c r="S33" s="157"/>
      <c r="T33" s="155"/>
      <c r="U33" s="155"/>
      <c r="V33" s="158"/>
      <c r="W33" s="159"/>
      <c r="X33" s="160"/>
      <c r="Y33" s="154"/>
      <c r="Z33" s="161"/>
      <c r="AA33" s="162"/>
      <c r="AB33" s="163"/>
    </row>
    <row r="34" spans="1:28">
      <c r="A34" s="152"/>
      <c r="B34" s="152"/>
      <c r="C34" s="152"/>
      <c r="D34" s="153"/>
      <c r="E34" s="154"/>
      <c r="F34" s="154"/>
      <c r="G34" s="154"/>
      <c r="H34" s="154"/>
      <c r="I34" s="154"/>
      <c r="J34" s="154"/>
      <c r="K34" s="154"/>
      <c r="L34" s="154"/>
      <c r="M34" s="155"/>
      <c r="N34" s="155"/>
      <c r="O34" s="154"/>
      <c r="P34" s="156"/>
      <c r="Q34" s="156"/>
      <c r="R34" s="157"/>
      <c r="S34" s="157"/>
      <c r="T34" s="155"/>
      <c r="U34" s="155"/>
      <c r="V34" s="158"/>
      <c r="W34" s="159"/>
      <c r="X34" s="160"/>
      <c r="Y34" s="154"/>
      <c r="Z34" s="161"/>
      <c r="AA34" s="162"/>
      <c r="AB34" s="163"/>
    </row>
    <row r="35" spans="1:28">
      <c r="A35" s="152"/>
      <c r="B35" s="152"/>
      <c r="C35" s="152"/>
      <c r="D35" s="153"/>
      <c r="E35" s="154"/>
      <c r="F35" s="154"/>
      <c r="G35" s="154"/>
      <c r="H35" s="154"/>
      <c r="I35" s="154"/>
      <c r="J35" s="154"/>
      <c r="K35" s="154"/>
      <c r="L35" s="154"/>
      <c r="M35" s="155"/>
      <c r="N35" s="155"/>
      <c r="O35" s="154"/>
      <c r="P35" s="156"/>
      <c r="Q35" s="156"/>
      <c r="R35" s="157"/>
      <c r="S35" s="157"/>
      <c r="T35" s="155"/>
      <c r="U35" s="155"/>
      <c r="V35" s="158"/>
      <c r="W35" s="159"/>
      <c r="X35" s="160"/>
      <c r="Y35" s="154"/>
      <c r="Z35" s="161"/>
      <c r="AA35" s="162"/>
      <c r="AB35" s="163"/>
    </row>
    <row r="36" spans="1:28">
      <c r="A36" s="152"/>
      <c r="B36" s="152"/>
      <c r="C36" s="152"/>
      <c r="D36" s="153"/>
      <c r="E36" s="154"/>
      <c r="F36" s="154"/>
      <c r="G36" s="154"/>
      <c r="H36" s="154"/>
      <c r="I36" s="154"/>
      <c r="J36" s="154"/>
      <c r="K36" s="154"/>
      <c r="L36" s="154"/>
      <c r="M36" s="155"/>
      <c r="N36" s="155"/>
      <c r="O36" s="154"/>
      <c r="P36" s="156"/>
      <c r="Q36" s="156"/>
      <c r="R36" s="157"/>
      <c r="S36" s="157"/>
      <c r="T36" s="155"/>
      <c r="U36" s="155"/>
      <c r="V36" s="158"/>
      <c r="W36" s="159"/>
      <c r="X36" s="160"/>
      <c r="Y36" s="154"/>
      <c r="Z36" s="161"/>
      <c r="AA36" s="162"/>
      <c r="AB36" s="163"/>
    </row>
    <row r="37" spans="1:28">
      <c r="A37" s="152"/>
      <c r="B37" s="152"/>
      <c r="C37" s="152"/>
      <c r="D37" s="153"/>
      <c r="E37" s="154"/>
      <c r="F37" s="154"/>
      <c r="G37" s="154"/>
      <c r="H37" s="154"/>
      <c r="I37" s="154"/>
      <c r="J37" s="154"/>
      <c r="K37" s="154"/>
      <c r="L37" s="154"/>
      <c r="M37" s="155"/>
      <c r="N37" s="155"/>
      <c r="O37" s="154"/>
      <c r="P37" s="156"/>
      <c r="Q37" s="156"/>
      <c r="R37" s="157"/>
      <c r="S37" s="157"/>
      <c r="T37" s="155"/>
      <c r="U37" s="155"/>
      <c r="V37" s="158"/>
      <c r="W37" s="159"/>
      <c r="X37" s="160"/>
      <c r="Y37" s="154"/>
      <c r="Z37" s="161"/>
      <c r="AA37" s="162"/>
      <c r="AB37" s="163"/>
    </row>
    <row r="38" spans="1:28">
      <c r="A38" s="152"/>
      <c r="B38" s="152"/>
      <c r="C38" s="152"/>
      <c r="D38" s="153"/>
      <c r="E38" s="154"/>
      <c r="F38" s="154"/>
      <c r="G38" s="154"/>
      <c r="H38" s="154"/>
      <c r="I38" s="154"/>
      <c r="J38" s="154"/>
      <c r="K38" s="154"/>
      <c r="L38" s="154"/>
      <c r="M38" s="155"/>
      <c r="N38" s="155"/>
      <c r="O38" s="154"/>
      <c r="P38" s="156"/>
      <c r="Q38" s="156"/>
      <c r="R38" s="157"/>
      <c r="S38" s="157"/>
      <c r="T38" s="155"/>
      <c r="U38" s="155"/>
      <c r="V38" s="158"/>
      <c r="W38" s="159"/>
      <c r="X38" s="160"/>
      <c r="Y38" s="154"/>
      <c r="Z38" s="161"/>
      <c r="AA38" s="162"/>
      <c r="AB38" s="163"/>
    </row>
    <row r="39" spans="1:28">
      <c r="A39" s="152"/>
      <c r="B39" s="152"/>
      <c r="C39" s="152"/>
      <c r="D39" s="153"/>
      <c r="E39" s="154"/>
      <c r="F39" s="154"/>
      <c r="G39" s="154"/>
      <c r="H39" s="154"/>
      <c r="I39" s="154"/>
      <c r="J39" s="154"/>
      <c r="K39" s="154"/>
      <c r="L39" s="154"/>
      <c r="M39" s="155"/>
      <c r="N39" s="155"/>
      <c r="O39" s="154"/>
      <c r="P39" s="156"/>
      <c r="Q39" s="156"/>
      <c r="R39" s="157"/>
      <c r="S39" s="157"/>
      <c r="T39" s="155"/>
      <c r="U39" s="155"/>
      <c r="V39" s="158"/>
      <c r="W39" s="159"/>
      <c r="X39" s="160"/>
      <c r="Y39" s="154"/>
      <c r="Z39" s="161"/>
      <c r="AA39" s="162"/>
      <c r="AB39" s="163"/>
    </row>
    <row r="40" spans="1:28">
      <c r="A40" s="152"/>
      <c r="B40" s="152"/>
      <c r="C40" s="152"/>
      <c r="D40" s="153"/>
      <c r="E40" s="154"/>
      <c r="F40" s="154"/>
      <c r="G40" s="154"/>
      <c r="H40" s="154"/>
      <c r="I40" s="154"/>
      <c r="J40" s="154"/>
      <c r="K40" s="154"/>
      <c r="L40" s="154"/>
      <c r="M40" s="155"/>
      <c r="N40" s="155"/>
      <c r="O40" s="154"/>
      <c r="P40" s="156"/>
      <c r="Q40" s="156"/>
      <c r="R40" s="157"/>
      <c r="S40" s="157"/>
      <c r="T40" s="155"/>
      <c r="U40" s="155"/>
      <c r="V40" s="158"/>
      <c r="W40" s="159"/>
      <c r="X40" s="160"/>
      <c r="Y40" s="154"/>
      <c r="Z40" s="161"/>
      <c r="AA40" s="162"/>
      <c r="AB40" s="163"/>
    </row>
    <row r="41" spans="1:28">
      <c r="A41" s="152"/>
      <c r="B41" s="152"/>
      <c r="C41" s="152"/>
      <c r="D41" s="153"/>
      <c r="E41" s="154"/>
      <c r="F41" s="154"/>
      <c r="G41" s="154"/>
      <c r="H41" s="154"/>
      <c r="I41" s="154"/>
      <c r="J41" s="154"/>
      <c r="K41" s="154"/>
      <c r="L41" s="154"/>
      <c r="M41" s="155"/>
      <c r="N41" s="155"/>
      <c r="O41" s="154"/>
      <c r="P41" s="156"/>
      <c r="Q41" s="156"/>
      <c r="R41" s="157"/>
      <c r="S41" s="157"/>
      <c r="T41" s="155"/>
      <c r="U41" s="155"/>
      <c r="V41" s="158"/>
      <c r="W41" s="159"/>
      <c r="X41" s="160"/>
      <c r="Y41" s="154"/>
      <c r="Z41" s="161"/>
      <c r="AA41" s="162"/>
      <c r="AB41" s="163"/>
    </row>
    <row r="42" spans="1:28">
      <c r="A42" s="152"/>
      <c r="B42" s="152"/>
      <c r="C42" s="152"/>
      <c r="D42" s="153"/>
      <c r="E42" s="154"/>
      <c r="F42" s="154"/>
      <c r="G42" s="154"/>
      <c r="H42" s="154"/>
      <c r="I42" s="154"/>
      <c r="J42" s="154"/>
      <c r="K42" s="154"/>
      <c r="L42" s="154"/>
      <c r="M42" s="155"/>
      <c r="N42" s="155"/>
      <c r="O42" s="154"/>
      <c r="P42" s="156"/>
      <c r="Q42" s="156"/>
      <c r="R42" s="157"/>
      <c r="S42" s="157"/>
      <c r="T42" s="155"/>
      <c r="U42" s="155"/>
      <c r="V42" s="158"/>
      <c r="W42" s="159"/>
      <c r="X42" s="160"/>
      <c r="Y42" s="154"/>
      <c r="Z42" s="161"/>
      <c r="AA42" s="162"/>
      <c r="AB42" s="163"/>
    </row>
    <row r="43" spans="1:28">
      <c r="A43" s="152"/>
      <c r="B43" s="152"/>
      <c r="C43" s="152"/>
      <c r="D43" s="153"/>
      <c r="E43" s="154"/>
      <c r="F43" s="154"/>
      <c r="G43" s="154"/>
      <c r="H43" s="154"/>
      <c r="I43" s="154"/>
      <c r="J43" s="154"/>
      <c r="K43" s="154"/>
      <c r="L43" s="154"/>
      <c r="M43" s="155"/>
      <c r="N43" s="155"/>
      <c r="O43" s="154"/>
      <c r="P43" s="156"/>
      <c r="Q43" s="156"/>
      <c r="R43" s="157"/>
      <c r="S43" s="157"/>
      <c r="T43" s="155"/>
      <c r="U43" s="155"/>
      <c r="V43" s="158"/>
      <c r="W43" s="159"/>
      <c r="X43" s="160"/>
      <c r="Y43" s="154"/>
      <c r="Z43" s="161"/>
      <c r="AA43" s="162"/>
      <c r="AB43" s="163"/>
    </row>
    <row r="44" spans="1:28">
      <c r="A44" s="152"/>
      <c r="B44" s="152"/>
      <c r="C44" s="152"/>
      <c r="D44" s="153"/>
      <c r="E44" s="154"/>
      <c r="F44" s="154"/>
      <c r="G44" s="154"/>
      <c r="H44" s="154"/>
      <c r="I44" s="154"/>
      <c r="J44" s="154"/>
      <c r="K44" s="154"/>
      <c r="L44" s="154"/>
      <c r="M44" s="155"/>
      <c r="N44" s="155"/>
      <c r="O44" s="154"/>
      <c r="P44" s="156"/>
      <c r="Q44" s="156"/>
      <c r="R44" s="157"/>
      <c r="S44" s="157"/>
      <c r="T44" s="155"/>
      <c r="U44" s="155"/>
      <c r="V44" s="158"/>
      <c r="W44" s="159"/>
      <c r="X44" s="160"/>
      <c r="Y44" s="154"/>
      <c r="Z44" s="161"/>
      <c r="AA44" s="162"/>
      <c r="AB44" s="163"/>
    </row>
    <row r="45" spans="1:28">
      <c r="A45" s="152"/>
      <c r="B45" s="152"/>
      <c r="C45" s="152"/>
      <c r="D45" s="153"/>
      <c r="E45" s="154"/>
      <c r="F45" s="154"/>
      <c r="G45" s="154"/>
      <c r="H45" s="154"/>
      <c r="I45" s="154"/>
      <c r="J45" s="154"/>
      <c r="K45" s="154"/>
      <c r="L45" s="154"/>
      <c r="M45" s="155"/>
      <c r="N45" s="155"/>
      <c r="O45" s="154"/>
      <c r="P45" s="156"/>
      <c r="Q45" s="156"/>
      <c r="R45" s="157"/>
      <c r="S45" s="157"/>
      <c r="T45" s="155"/>
      <c r="U45" s="155"/>
      <c r="V45" s="158"/>
      <c r="W45" s="159"/>
      <c r="X45" s="160"/>
      <c r="Y45" s="154"/>
      <c r="Z45" s="161"/>
      <c r="AA45" s="162"/>
      <c r="AB45" s="163"/>
    </row>
    <row r="46" spans="1:28">
      <c r="A46" s="152"/>
      <c r="B46" s="152"/>
      <c r="C46" s="152"/>
      <c r="D46" s="153"/>
      <c r="E46" s="154"/>
      <c r="F46" s="154"/>
      <c r="G46" s="154"/>
      <c r="H46" s="154"/>
      <c r="I46" s="154"/>
      <c r="J46" s="154"/>
      <c r="K46" s="154"/>
      <c r="L46" s="154"/>
      <c r="M46" s="155"/>
      <c r="N46" s="155"/>
      <c r="O46" s="154"/>
      <c r="P46" s="156"/>
      <c r="Q46" s="156"/>
      <c r="R46" s="157"/>
      <c r="S46" s="157"/>
      <c r="T46" s="155"/>
      <c r="U46" s="155"/>
      <c r="V46" s="158"/>
      <c r="W46" s="159"/>
      <c r="X46" s="160"/>
      <c r="Y46" s="154"/>
      <c r="Z46" s="161"/>
      <c r="AA46" s="162"/>
      <c r="AB46" s="163"/>
    </row>
    <row r="47" spans="1:28">
      <c r="A47" s="152"/>
      <c r="B47" s="152"/>
      <c r="C47" s="152"/>
      <c r="D47" s="153"/>
      <c r="E47" s="154"/>
      <c r="F47" s="154"/>
      <c r="G47" s="154"/>
      <c r="H47" s="154"/>
      <c r="I47" s="154"/>
      <c r="J47" s="154"/>
      <c r="K47" s="154"/>
      <c r="L47" s="154"/>
      <c r="M47" s="155"/>
      <c r="N47" s="155"/>
      <c r="O47" s="154"/>
      <c r="P47" s="156"/>
      <c r="Q47" s="156"/>
      <c r="R47" s="157"/>
      <c r="S47" s="157"/>
      <c r="T47" s="155"/>
      <c r="U47" s="155"/>
      <c r="V47" s="158"/>
      <c r="W47" s="159"/>
      <c r="X47" s="160"/>
      <c r="Y47" s="154"/>
      <c r="Z47" s="161"/>
      <c r="AA47" s="162"/>
      <c r="AB47" s="163"/>
    </row>
    <row r="48" spans="1:28">
      <c r="A48" s="152"/>
      <c r="B48" s="152"/>
      <c r="C48" s="152"/>
      <c r="D48" s="153"/>
      <c r="E48" s="154"/>
      <c r="F48" s="154"/>
      <c r="G48" s="154"/>
      <c r="H48" s="154"/>
      <c r="I48" s="154"/>
      <c r="J48" s="154"/>
      <c r="K48" s="154"/>
      <c r="L48" s="154"/>
      <c r="M48" s="155"/>
      <c r="N48" s="155"/>
      <c r="O48" s="154"/>
      <c r="P48" s="156"/>
      <c r="Q48" s="156"/>
      <c r="R48" s="157"/>
      <c r="S48" s="157"/>
      <c r="T48" s="155"/>
      <c r="U48" s="155"/>
      <c r="V48" s="158"/>
      <c r="W48" s="159"/>
      <c r="X48" s="160"/>
      <c r="Y48" s="154"/>
      <c r="Z48" s="161"/>
      <c r="AA48" s="162"/>
      <c r="AB48" s="163"/>
    </row>
    <row r="49" spans="1:28">
      <c r="A49" s="152"/>
      <c r="B49" s="152"/>
      <c r="C49" s="152"/>
      <c r="D49" s="153"/>
      <c r="E49" s="154"/>
      <c r="F49" s="154"/>
      <c r="G49" s="154"/>
      <c r="H49" s="154"/>
      <c r="I49" s="154"/>
      <c r="J49" s="154"/>
      <c r="K49" s="154"/>
      <c r="L49" s="154"/>
      <c r="M49" s="155"/>
      <c r="N49" s="155"/>
      <c r="O49" s="154"/>
      <c r="P49" s="156"/>
      <c r="Q49" s="156"/>
      <c r="R49" s="157"/>
      <c r="S49" s="157"/>
      <c r="T49" s="155"/>
      <c r="U49" s="155"/>
      <c r="V49" s="158"/>
      <c r="W49" s="159"/>
      <c r="X49" s="160"/>
      <c r="Y49" s="154"/>
      <c r="Z49" s="161"/>
      <c r="AA49" s="162"/>
      <c r="AB49" s="163"/>
    </row>
    <row r="50" spans="1:28">
      <c r="A50" s="152"/>
      <c r="B50" s="152"/>
      <c r="C50" s="152"/>
      <c r="D50" s="153"/>
      <c r="E50" s="154"/>
      <c r="F50" s="154"/>
      <c r="G50" s="154"/>
      <c r="H50" s="154"/>
      <c r="I50" s="154"/>
      <c r="J50" s="154"/>
      <c r="K50" s="154"/>
      <c r="L50" s="154"/>
      <c r="M50" s="155"/>
      <c r="N50" s="155"/>
      <c r="O50" s="154"/>
      <c r="P50" s="156"/>
      <c r="Q50" s="156"/>
      <c r="R50" s="157"/>
      <c r="S50" s="157"/>
      <c r="T50" s="155"/>
      <c r="U50" s="155"/>
      <c r="V50" s="158"/>
      <c r="W50" s="159"/>
      <c r="X50" s="160"/>
      <c r="Y50" s="154"/>
      <c r="Z50" s="161"/>
      <c r="AA50" s="162"/>
      <c r="AB50" s="163"/>
    </row>
    <row r="51" spans="1:28">
      <c r="A51" s="152"/>
      <c r="B51" s="152"/>
      <c r="C51" s="152"/>
      <c r="D51" s="153"/>
      <c r="E51" s="154"/>
      <c r="F51" s="154"/>
      <c r="G51" s="154"/>
      <c r="H51" s="154"/>
      <c r="I51" s="154"/>
      <c r="J51" s="154"/>
      <c r="K51" s="154"/>
      <c r="L51" s="154"/>
      <c r="M51" s="155"/>
      <c r="N51" s="155"/>
      <c r="O51" s="154"/>
      <c r="P51" s="156"/>
      <c r="Q51" s="156"/>
      <c r="R51" s="157"/>
      <c r="S51" s="157"/>
      <c r="T51" s="155"/>
      <c r="U51" s="155"/>
      <c r="V51" s="158"/>
      <c r="W51" s="159"/>
      <c r="X51" s="160"/>
      <c r="Y51" s="154"/>
      <c r="Z51" s="161"/>
      <c r="AA51" s="162"/>
      <c r="AB51" s="163"/>
    </row>
    <row r="52" spans="1:28">
      <c r="A52" s="152"/>
      <c r="B52" s="152"/>
      <c r="C52" s="152"/>
      <c r="D52" s="153"/>
      <c r="E52" s="154"/>
      <c r="F52" s="154"/>
      <c r="G52" s="154"/>
      <c r="H52" s="154"/>
      <c r="I52" s="154"/>
      <c r="J52" s="154"/>
      <c r="K52" s="154"/>
      <c r="L52" s="154"/>
      <c r="M52" s="155"/>
      <c r="N52" s="155"/>
      <c r="O52" s="154"/>
      <c r="P52" s="156"/>
      <c r="Q52" s="156"/>
      <c r="R52" s="157"/>
      <c r="S52" s="157"/>
      <c r="T52" s="155"/>
      <c r="U52" s="155"/>
      <c r="V52" s="158"/>
      <c r="W52" s="159"/>
      <c r="X52" s="160"/>
      <c r="Y52" s="154"/>
      <c r="Z52" s="161"/>
      <c r="AA52" s="162"/>
      <c r="AB52" s="163"/>
    </row>
    <row r="53" spans="1:28">
      <c r="A53" s="152"/>
      <c r="B53" s="152"/>
      <c r="C53" s="152"/>
      <c r="D53" s="153"/>
      <c r="E53" s="154"/>
      <c r="F53" s="154"/>
      <c r="G53" s="154"/>
      <c r="H53" s="154"/>
      <c r="I53" s="154"/>
      <c r="J53" s="154"/>
      <c r="K53" s="154"/>
      <c r="L53" s="154"/>
      <c r="M53" s="155"/>
      <c r="N53" s="155"/>
      <c r="O53" s="154"/>
      <c r="P53" s="156"/>
      <c r="Q53" s="156"/>
      <c r="R53" s="157"/>
      <c r="S53" s="157"/>
      <c r="T53" s="155"/>
      <c r="U53" s="155"/>
      <c r="V53" s="158"/>
      <c r="W53" s="159"/>
      <c r="X53" s="160"/>
      <c r="Y53" s="154"/>
      <c r="Z53" s="161"/>
      <c r="AA53" s="162"/>
      <c r="AB53" s="163"/>
    </row>
    <row r="54" spans="1:28">
      <c r="A54" s="152"/>
      <c r="B54" s="152"/>
      <c r="C54" s="152"/>
      <c r="D54" s="153"/>
      <c r="E54" s="154"/>
      <c r="F54" s="154"/>
      <c r="G54" s="154"/>
      <c r="H54" s="154"/>
      <c r="I54" s="154"/>
      <c r="J54" s="154"/>
      <c r="K54" s="154"/>
      <c r="L54" s="154"/>
      <c r="M54" s="155"/>
      <c r="N54" s="155"/>
      <c r="O54" s="154"/>
      <c r="P54" s="156"/>
      <c r="Q54" s="156"/>
      <c r="R54" s="157"/>
      <c r="S54" s="157"/>
      <c r="T54" s="155"/>
      <c r="U54" s="155"/>
      <c r="V54" s="158"/>
      <c r="W54" s="159"/>
      <c r="X54" s="160"/>
      <c r="Y54" s="154"/>
      <c r="Z54" s="161"/>
      <c r="AA54" s="162"/>
      <c r="AB54" s="163"/>
    </row>
    <row r="55" spans="1:28">
      <c r="A55" s="152"/>
      <c r="B55" s="152"/>
      <c r="C55" s="152"/>
      <c r="D55" s="153"/>
      <c r="E55" s="154"/>
      <c r="F55" s="154"/>
      <c r="G55" s="154"/>
      <c r="H55" s="154"/>
      <c r="I55" s="154"/>
      <c r="J55" s="154"/>
      <c r="K55" s="154"/>
      <c r="L55" s="154"/>
      <c r="M55" s="155"/>
      <c r="N55" s="155"/>
      <c r="O55" s="154"/>
      <c r="P55" s="156"/>
      <c r="Q55" s="156"/>
      <c r="R55" s="157"/>
      <c r="S55" s="157"/>
      <c r="T55" s="155"/>
      <c r="U55" s="155"/>
      <c r="V55" s="158"/>
      <c r="W55" s="159"/>
      <c r="X55" s="160"/>
      <c r="Y55" s="154"/>
      <c r="Z55" s="161"/>
      <c r="AA55" s="162"/>
      <c r="AB55" s="163"/>
    </row>
    <row r="56" spans="1:28">
      <c r="A56" s="152"/>
      <c r="B56" s="152"/>
      <c r="C56" s="152"/>
      <c r="D56" s="180"/>
      <c r="E56" s="154"/>
      <c r="F56" s="154"/>
      <c r="G56" s="154"/>
      <c r="H56" s="154"/>
      <c r="I56" s="154"/>
      <c r="J56" s="154"/>
      <c r="K56" s="154"/>
      <c r="L56" s="154"/>
      <c r="M56" s="155"/>
      <c r="N56" s="155"/>
      <c r="O56" s="154"/>
      <c r="P56" s="156"/>
      <c r="Q56" s="156"/>
      <c r="R56" s="157"/>
      <c r="S56" s="157"/>
      <c r="T56" s="155"/>
      <c r="U56" s="155"/>
      <c r="V56" s="158"/>
      <c r="W56" s="159"/>
      <c r="X56" s="160"/>
      <c r="Y56" s="154"/>
      <c r="Z56" s="161"/>
      <c r="AA56" s="162"/>
      <c r="AB56" s="163"/>
    </row>
    <row r="57" spans="1:28">
      <c r="A57" s="152"/>
      <c r="B57" s="152"/>
      <c r="C57" s="152"/>
      <c r="D57" s="153"/>
      <c r="E57" s="154"/>
      <c r="F57" s="154"/>
      <c r="G57" s="154"/>
      <c r="H57" s="154"/>
      <c r="I57" s="154"/>
      <c r="J57" s="154"/>
      <c r="K57" s="154"/>
      <c r="L57" s="154"/>
      <c r="M57" s="155"/>
      <c r="N57" s="155"/>
      <c r="O57" s="154"/>
      <c r="P57" s="156"/>
      <c r="Q57" s="156"/>
      <c r="R57" s="157"/>
      <c r="S57" s="157"/>
      <c r="T57" s="155"/>
      <c r="U57" s="155"/>
      <c r="V57" s="158"/>
      <c r="W57" s="159"/>
      <c r="X57" s="160"/>
      <c r="Y57" s="154"/>
      <c r="Z57" s="161"/>
      <c r="AA57" s="162"/>
      <c r="AB57" s="163"/>
    </row>
    <row r="58" spans="1:28">
      <c r="A58" s="152"/>
      <c r="B58" s="152"/>
      <c r="C58" s="152"/>
      <c r="D58" s="153"/>
      <c r="E58" s="154"/>
      <c r="F58" s="154"/>
      <c r="G58" s="154"/>
      <c r="H58" s="154"/>
      <c r="I58" s="154"/>
      <c r="J58" s="154"/>
      <c r="K58" s="154"/>
      <c r="L58" s="154"/>
      <c r="M58" s="155"/>
      <c r="N58" s="155"/>
      <c r="O58" s="154"/>
      <c r="P58" s="156"/>
      <c r="Q58" s="156"/>
      <c r="R58" s="157"/>
      <c r="S58" s="157"/>
      <c r="T58" s="155"/>
      <c r="U58" s="155"/>
      <c r="V58" s="158"/>
      <c r="W58" s="159"/>
      <c r="X58" s="160"/>
      <c r="Y58" s="154"/>
      <c r="Z58" s="161"/>
      <c r="AA58" s="162"/>
      <c r="AB58" s="163"/>
    </row>
    <row r="59" spans="1:28">
      <c r="A59" s="152"/>
      <c r="B59" s="152"/>
      <c r="C59" s="152"/>
      <c r="D59" s="153"/>
      <c r="E59" s="154"/>
      <c r="F59" s="154"/>
      <c r="G59" s="154"/>
      <c r="H59" s="154"/>
      <c r="I59" s="154"/>
      <c r="J59" s="154"/>
      <c r="K59" s="154"/>
      <c r="L59" s="154"/>
      <c r="M59" s="155"/>
      <c r="N59" s="155"/>
      <c r="O59" s="154"/>
      <c r="P59" s="156"/>
      <c r="Q59" s="156"/>
      <c r="R59" s="157"/>
      <c r="S59" s="157"/>
      <c r="T59" s="155"/>
      <c r="U59" s="155"/>
      <c r="V59" s="158"/>
      <c r="W59" s="159"/>
      <c r="X59" s="160"/>
      <c r="Y59" s="154"/>
      <c r="Z59" s="161"/>
      <c r="AA59" s="162"/>
      <c r="AB59" s="163"/>
    </row>
    <row r="60" spans="1:28">
      <c r="A60" s="152"/>
      <c r="B60" s="152"/>
      <c r="C60" s="152"/>
      <c r="D60" s="153"/>
      <c r="E60" s="154"/>
      <c r="F60" s="154"/>
      <c r="G60" s="154"/>
      <c r="H60" s="154"/>
      <c r="I60" s="154"/>
      <c r="J60" s="154"/>
      <c r="K60" s="154"/>
      <c r="L60" s="154"/>
      <c r="M60" s="155"/>
      <c r="N60" s="155"/>
      <c r="O60" s="154"/>
      <c r="P60" s="156"/>
      <c r="Q60" s="156"/>
      <c r="R60" s="157"/>
      <c r="S60" s="157"/>
      <c r="T60" s="155"/>
      <c r="U60" s="155"/>
      <c r="V60" s="158"/>
      <c r="W60" s="159"/>
      <c r="X60" s="160"/>
      <c r="Y60" s="154"/>
      <c r="Z60" s="161"/>
      <c r="AA60" s="162"/>
      <c r="AB60" s="163"/>
    </row>
    <row r="61" spans="1:28">
      <c r="A61" s="152"/>
      <c r="B61" s="152"/>
      <c r="C61" s="152"/>
      <c r="D61" s="153"/>
      <c r="E61" s="154"/>
      <c r="F61" s="154"/>
      <c r="G61" s="154"/>
      <c r="H61" s="154"/>
      <c r="I61" s="154"/>
      <c r="J61" s="154"/>
      <c r="K61" s="154"/>
      <c r="L61" s="154"/>
      <c r="M61" s="155"/>
      <c r="N61" s="155"/>
      <c r="O61" s="154"/>
      <c r="P61" s="156"/>
      <c r="Q61" s="156"/>
      <c r="R61" s="157"/>
      <c r="S61" s="157"/>
      <c r="T61" s="155"/>
      <c r="U61" s="155"/>
      <c r="V61" s="158"/>
      <c r="W61" s="159"/>
      <c r="X61" s="160"/>
      <c r="Y61" s="154"/>
      <c r="Z61" s="161"/>
      <c r="AA61" s="162"/>
      <c r="AB61" s="163"/>
    </row>
    <row r="62" spans="1:28">
      <c r="A62" s="152"/>
      <c r="B62" s="152"/>
      <c r="C62" s="152"/>
      <c r="D62" s="153"/>
      <c r="E62" s="154"/>
      <c r="F62" s="154"/>
      <c r="G62" s="154"/>
      <c r="H62" s="154"/>
      <c r="I62" s="154"/>
      <c r="J62" s="154"/>
      <c r="K62" s="154"/>
      <c r="L62" s="154"/>
      <c r="M62" s="155"/>
      <c r="N62" s="155"/>
      <c r="O62" s="154"/>
      <c r="P62" s="156"/>
      <c r="Q62" s="156"/>
      <c r="R62" s="157"/>
      <c r="S62" s="157"/>
      <c r="T62" s="155"/>
      <c r="U62" s="155"/>
      <c r="V62" s="158"/>
      <c r="W62" s="159"/>
      <c r="X62" s="160"/>
      <c r="Y62" s="154"/>
      <c r="Z62" s="161"/>
      <c r="AA62" s="162"/>
      <c r="AB62" s="163"/>
    </row>
    <row r="63" spans="1:28">
      <c r="A63" s="152"/>
      <c r="B63" s="152"/>
      <c r="C63" s="152"/>
      <c r="D63" s="153"/>
      <c r="E63" s="154"/>
      <c r="F63" s="154"/>
      <c r="G63" s="154"/>
      <c r="H63" s="154"/>
      <c r="I63" s="154"/>
      <c r="J63" s="154"/>
      <c r="K63" s="154"/>
      <c r="L63" s="154"/>
      <c r="M63" s="155"/>
      <c r="N63" s="155"/>
      <c r="O63" s="154"/>
      <c r="P63" s="156"/>
      <c r="Q63" s="156"/>
      <c r="R63" s="157"/>
      <c r="S63" s="157"/>
      <c r="T63" s="155"/>
      <c r="U63" s="155"/>
      <c r="V63" s="158"/>
      <c r="W63" s="159"/>
      <c r="X63" s="160"/>
      <c r="Y63" s="154"/>
      <c r="Z63" s="161"/>
      <c r="AA63" s="162"/>
      <c r="AB63" s="163"/>
    </row>
    <row r="64" spans="1:28">
      <c r="A64" s="152"/>
      <c r="B64" s="152"/>
      <c r="C64" s="152"/>
      <c r="D64" s="153"/>
      <c r="E64" s="154"/>
      <c r="F64" s="154"/>
      <c r="G64" s="154"/>
      <c r="H64" s="154"/>
      <c r="I64" s="154"/>
      <c r="J64" s="154"/>
      <c r="K64" s="154"/>
      <c r="L64" s="154"/>
      <c r="M64" s="155"/>
      <c r="N64" s="155"/>
      <c r="O64" s="154"/>
      <c r="P64" s="156"/>
      <c r="Q64" s="156"/>
      <c r="R64" s="157"/>
      <c r="S64" s="157"/>
      <c r="T64" s="155"/>
      <c r="U64" s="155"/>
      <c r="V64" s="158"/>
      <c r="W64" s="159"/>
      <c r="X64" s="160"/>
      <c r="Y64" s="154"/>
      <c r="Z64" s="161"/>
      <c r="AA64" s="162"/>
      <c r="AB64" s="163"/>
    </row>
    <row r="65" spans="1:28">
      <c r="A65" s="152"/>
      <c r="B65" s="152"/>
      <c r="C65" s="152"/>
      <c r="D65" s="153"/>
      <c r="E65" s="154"/>
      <c r="F65" s="154"/>
      <c r="G65" s="154"/>
      <c r="H65" s="154"/>
      <c r="I65" s="154"/>
      <c r="J65" s="154"/>
      <c r="K65" s="154"/>
      <c r="L65" s="154"/>
      <c r="M65" s="155"/>
      <c r="N65" s="155"/>
      <c r="O65" s="154"/>
      <c r="P65" s="156"/>
      <c r="Q65" s="156"/>
      <c r="R65" s="157"/>
      <c r="S65" s="157"/>
      <c r="T65" s="155"/>
      <c r="U65" s="155"/>
      <c r="V65" s="158"/>
      <c r="W65" s="159"/>
      <c r="X65" s="160"/>
      <c r="Y65" s="154"/>
      <c r="Z65" s="161"/>
      <c r="AA65" s="162"/>
      <c r="AB65" s="163"/>
    </row>
    <row r="66" spans="1:28">
      <c r="A66" s="152"/>
      <c r="B66" s="152"/>
      <c r="C66" s="152"/>
      <c r="D66" s="153"/>
      <c r="E66" s="154"/>
      <c r="F66" s="154"/>
      <c r="G66" s="154"/>
      <c r="H66" s="154"/>
      <c r="I66" s="154"/>
      <c r="J66" s="154"/>
      <c r="K66" s="154"/>
      <c r="L66" s="154"/>
      <c r="M66" s="155"/>
      <c r="N66" s="155"/>
      <c r="O66" s="154"/>
      <c r="P66" s="156"/>
      <c r="Q66" s="156"/>
      <c r="R66" s="157"/>
      <c r="S66" s="157"/>
      <c r="T66" s="155"/>
      <c r="U66" s="155"/>
      <c r="V66" s="158"/>
      <c r="W66" s="159"/>
      <c r="X66" s="160"/>
      <c r="Y66" s="154"/>
      <c r="Z66" s="161"/>
      <c r="AA66" s="162"/>
      <c r="AB66" s="163"/>
    </row>
    <row r="67" spans="1:28">
      <c r="A67" s="152"/>
      <c r="B67" s="152"/>
      <c r="C67" s="152"/>
      <c r="D67" s="153"/>
      <c r="E67" s="154"/>
      <c r="F67" s="154"/>
      <c r="G67" s="154"/>
      <c r="H67" s="154"/>
      <c r="I67" s="154"/>
      <c r="J67" s="154"/>
      <c r="K67" s="154"/>
      <c r="L67" s="154"/>
      <c r="M67" s="155"/>
      <c r="N67" s="155"/>
      <c r="O67" s="154"/>
      <c r="P67" s="156"/>
      <c r="Q67" s="156"/>
      <c r="R67" s="157"/>
      <c r="S67" s="157"/>
      <c r="T67" s="155"/>
      <c r="U67" s="155"/>
      <c r="V67" s="158"/>
      <c r="W67" s="159"/>
      <c r="X67" s="160"/>
      <c r="Y67" s="154"/>
      <c r="Z67" s="161"/>
      <c r="AA67" s="162"/>
      <c r="AB67" s="163"/>
    </row>
    <row r="68" spans="1:28">
      <c r="A68" s="152"/>
      <c r="B68" s="152"/>
      <c r="C68" s="152"/>
      <c r="D68" s="153"/>
      <c r="E68" s="154"/>
      <c r="F68" s="154"/>
      <c r="G68" s="154"/>
      <c r="H68" s="154"/>
      <c r="I68" s="154"/>
      <c r="J68" s="154"/>
      <c r="K68" s="154"/>
      <c r="L68" s="154"/>
      <c r="M68" s="155"/>
      <c r="N68" s="155"/>
      <c r="O68" s="154"/>
      <c r="P68" s="156"/>
      <c r="Q68" s="156"/>
      <c r="R68" s="157"/>
      <c r="S68" s="157"/>
      <c r="T68" s="155"/>
      <c r="U68" s="155"/>
      <c r="V68" s="158"/>
      <c r="W68" s="159"/>
      <c r="X68" s="160"/>
      <c r="Y68" s="154"/>
      <c r="Z68" s="161"/>
      <c r="AA68" s="162"/>
      <c r="AB68" s="163"/>
    </row>
    <row r="69" spans="1:28">
      <c r="A69" s="152"/>
      <c r="B69" s="152"/>
      <c r="C69" s="152"/>
      <c r="D69" s="153"/>
      <c r="E69" s="154"/>
      <c r="F69" s="154"/>
      <c r="G69" s="154"/>
      <c r="H69" s="154"/>
      <c r="I69" s="154"/>
      <c r="J69" s="154"/>
      <c r="K69" s="154"/>
      <c r="L69" s="154"/>
      <c r="M69" s="155"/>
      <c r="N69" s="155"/>
      <c r="O69" s="154"/>
      <c r="P69" s="156"/>
      <c r="Q69" s="156"/>
      <c r="R69" s="157"/>
      <c r="S69" s="157"/>
      <c r="T69" s="155"/>
      <c r="U69" s="155"/>
      <c r="V69" s="158"/>
      <c r="W69" s="159"/>
      <c r="X69" s="160"/>
      <c r="Y69" s="154"/>
      <c r="Z69" s="161"/>
      <c r="AA69" s="162"/>
      <c r="AB69" s="163"/>
    </row>
    <row r="70" spans="1:28">
      <c r="A70" s="152"/>
      <c r="B70" s="152"/>
      <c r="C70" s="152"/>
      <c r="D70" s="153"/>
      <c r="E70" s="154"/>
      <c r="F70" s="154"/>
      <c r="G70" s="154"/>
      <c r="H70" s="154"/>
      <c r="I70" s="154"/>
      <c r="J70" s="154"/>
      <c r="K70" s="154"/>
      <c r="L70" s="154"/>
      <c r="M70" s="155"/>
      <c r="N70" s="155"/>
      <c r="O70" s="154"/>
      <c r="P70" s="156"/>
      <c r="Q70" s="156"/>
      <c r="R70" s="157"/>
      <c r="S70" s="157"/>
      <c r="T70" s="155"/>
      <c r="U70" s="155"/>
      <c r="V70" s="158"/>
      <c r="W70" s="159"/>
      <c r="X70" s="160"/>
      <c r="Y70" s="154"/>
      <c r="Z70" s="161"/>
      <c r="AA70" s="162"/>
      <c r="AB70" s="163"/>
    </row>
    <row r="71" spans="1:28">
      <c r="A71" s="152"/>
      <c r="B71" s="152"/>
      <c r="C71" s="152"/>
      <c r="D71" s="153"/>
      <c r="E71" s="154"/>
      <c r="F71" s="154"/>
      <c r="G71" s="154"/>
      <c r="H71" s="154"/>
      <c r="I71" s="154"/>
      <c r="J71" s="154"/>
      <c r="K71" s="154"/>
      <c r="L71" s="154"/>
      <c r="M71" s="155"/>
      <c r="N71" s="155"/>
      <c r="O71" s="154"/>
      <c r="P71" s="156"/>
      <c r="Q71" s="156"/>
      <c r="R71" s="157"/>
      <c r="S71" s="157"/>
      <c r="T71" s="155"/>
      <c r="U71" s="155"/>
      <c r="V71" s="158"/>
      <c r="W71" s="159"/>
      <c r="X71" s="160"/>
      <c r="Y71" s="154"/>
      <c r="Z71" s="161"/>
      <c r="AA71" s="162"/>
      <c r="AB71" s="163"/>
    </row>
    <row r="72" spans="1:28">
      <c r="A72" s="152"/>
      <c r="B72" s="152"/>
      <c r="C72" s="152"/>
      <c r="D72" s="153"/>
      <c r="E72" s="154"/>
      <c r="F72" s="154"/>
      <c r="G72" s="154"/>
      <c r="H72" s="154"/>
      <c r="I72" s="154"/>
      <c r="J72" s="154"/>
      <c r="K72" s="154"/>
      <c r="L72" s="154"/>
      <c r="M72" s="155"/>
      <c r="N72" s="155"/>
      <c r="O72" s="154"/>
      <c r="P72" s="156"/>
      <c r="Q72" s="156"/>
      <c r="R72" s="157"/>
      <c r="S72" s="157"/>
      <c r="T72" s="155"/>
      <c r="U72" s="155"/>
      <c r="V72" s="158"/>
      <c r="W72" s="159"/>
      <c r="X72" s="160"/>
      <c r="Y72" s="154"/>
      <c r="Z72" s="161"/>
      <c r="AA72" s="162"/>
      <c r="AB72" s="163"/>
    </row>
    <row r="73" spans="1:28">
      <c r="A73" s="152"/>
      <c r="B73" s="152"/>
      <c r="C73" s="152"/>
      <c r="D73" s="153"/>
      <c r="E73" s="154"/>
      <c r="F73" s="154"/>
      <c r="G73" s="154"/>
      <c r="H73" s="154"/>
      <c r="I73" s="154"/>
      <c r="J73" s="154"/>
      <c r="K73" s="154"/>
      <c r="L73" s="154"/>
      <c r="M73" s="155"/>
      <c r="N73" s="155"/>
      <c r="O73" s="154"/>
      <c r="P73" s="156"/>
      <c r="Q73" s="156"/>
      <c r="R73" s="157"/>
      <c r="S73" s="157"/>
      <c r="T73" s="155"/>
      <c r="U73" s="155"/>
      <c r="V73" s="158"/>
      <c r="W73" s="159"/>
      <c r="X73" s="160"/>
      <c r="Y73" s="154"/>
      <c r="Z73" s="161"/>
      <c r="AA73" s="162"/>
      <c r="AB73" s="163"/>
    </row>
    <row r="74" spans="1:28">
      <c r="A74" s="152"/>
      <c r="B74" s="152"/>
      <c r="C74" s="152"/>
      <c r="D74" s="153"/>
      <c r="E74" s="154"/>
      <c r="F74" s="154"/>
      <c r="G74" s="154"/>
      <c r="H74" s="154"/>
      <c r="I74" s="154"/>
      <c r="J74" s="154"/>
      <c r="K74" s="154"/>
      <c r="L74" s="154"/>
      <c r="M74" s="155"/>
      <c r="N74" s="155"/>
      <c r="O74" s="154"/>
      <c r="P74" s="156"/>
      <c r="Q74" s="156"/>
      <c r="R74" s="157"/>
      <c r="S74" s="157"/>
      <c r="T74" s="155"/>
      <c r="U74" s="155"/>
      <c r="V74" s="158"/>
      <c r="W74" s="159"/>
      <c r="X74" s="160"/>
      <c r="Y74" s="154"/>
      <c r="Z74" s="161"/>
      <c r="AA74" s="162"/>
      <c r="AB74" s="163"/>
    </row>
    <row r="75" spans="1:28">
      <c r="A75" s="152"/>
      <c r="B75" s="152"/>
      <c r="C75" s="152"/>
      <c r="D75" s="153"/>
      <c r="E75" s="154"/>
      <c r="F75" s="154"/>
      <c r="G75" s="154"/>
      <c r="H75" s="154"/>
      <c r="I75" s="154"/>
      <c r="J75" s="154"/>
      <c r="K75" s="154"/>
      <c r="L75" s="154"/>
      <c r="M75" s="155"/>
      <c r="N75" s="155"/>
      <c r="O75" s="154"/>
      <c r="P75" s="156"/>
      <c r="Q75" s="156"/>
      <c r="R75" s="157"/>
      <c r="S75" s="157"/>
      <c r="T75" s="155"/>
      <c r="U75" s="155"/>
      <c r="V75" s="158"/>
      <c r="W75" s="159"/>
      <c r="X75" s="160"/>
      <c r="Y75" s="154"/>
      <c r="Z75" s="161"/>
      <c r="AA75" s="162"/>
      <c r="AB75" s="163"/>
    </row>
    <row r="76" spans="1:28">
      <c r="A76" s="152"/>
      <c r="B76" s="152"/>
      <c r="C76" s="152"/>
      <c r="D76" s="153"/>
      <c r="E76" s="154"/>
      <c r="F76" s="154"/>
      <c r="G76" s="154"/>
      <c r="H76" s="154"/>
      <c r="I76" s="154"/>
      <c r="J76" s="154"/>
      <c r="K76" s="154"/>
      <c r="L76" s="154"/>
      <c r="M76" s="155"/>
      <c r="N76" s="155"/>
      <c r="O76" s="154"/>
      <c r="P76" s="156"/>
      <c r="Q76" s="156"/>
      <c r="R76" s="157"/>
      <c r="S76" s="157"/>
      <c r="T76" s="155"/>
      <c r="U76" s="155"/>
      <c r="V76" s="158"/>
      <c r="W76" s="159"/>
      <c r="X76" s="160"/>
      <c r="Y76" s="154"/>
      <c r="Z76" s="161"/>
      <c r="AA76" s="162"/>
      <c r="AB76" s="163"/>
    </row>
    <row r="77" spans="1:28">
      <c r="A77" s="152"/>
      <c r="B77" s="152"/>
      <c r="C77" s="152"/>
      <c r="D77" s="153"/>
      <c r="E77" s="154"/>
      <c r="F77" s="154"/>
      <c r="G77" s="154"/>
      <c r="H77" s="154"/>
      <c r="I77" s="154"/>
      <c r="J77" s="154"/>
      <c r="K77" s="154"/>
      <c r="L77" s="154"/>
      <c r="M77" s="155"/>
      <c r="N77" s="155"/>
      <c r="O77" s="154"/>
      <c r="P77" s="156"/>
      <c r="Q77" s="156"/>
      <c r="R77" s="157"/>
      <c r="S77" s="157"/>
      <c r="T77" s="155"/>
      <c r="U77" s="155"/>
      <c r="V77" s="158"/>
      <c r="W77" s="159"/>
      <c r="X77" s="160"/>
      <c r="Y77" s="154"/>
      <c r="Z77" s="161"/>
      <c r="AA77" s="162"/>
      <c r="AB77" s="163"/>
    </row>
    <row r="78" spans="1:28">
      <c r="A78" s="152"/>
      <c r="B78" s="152"/>
      <c r="C78" s="152"/>
      <c r="D78" s="153"/>
      <c r="E78" s="154"/>
      <c r="F78" s="154"/>
      <c r="G78" s="154"/>
      <c r="H78" s="154"/>
      <c r="I78" s="154"/>
      <c r="J78" s="154"/>
      <c r="K78" s="154"/>
      <c r="L78" s="154"/>
      <c r="M78" s="155"/>
      <c r="N78" s="155"/>
      <c r="O78" s="154"/>
      <c r="P78" s="156"/>
      <c r="Q78" s="156"/>
      <c r="R78" s="157"/>
      <c r="S78" s="157"/>
      <c r="T78" s="155"/>
      <c r="U78" s="155"/>
      <c r="V78" s="158"/>
      <c r="W78" s="159"/>
      <c r="X78" s="160"/>
      <c r="Y78" s="154"/>
      <c r="Z78" s="161"/>
      <c r="AA78" s="162"/>
      <c r="AB78" s="163"/>
    </row>
    <row r="79" spans="1:28">
      <c r="A79" s="152"/>
      <c r="B79" s="152"/>
      <c r="C79" s="152"/>
      <c r="D79" s="153"/>
      <c r="E79" s="154"/>
      <c r="F79" s="154"/>
      <c r="G79" s="154"/>
      <c r="H79" s="154"/>
      <c r="I79" s="154"/>
      <c r="J79" s="154"/>
      <c r="K79" s="154"/>
      <c r="L79" s="154"/>
      <c r="M79" s="155"/>
      <c r="N79" s="155"/>
      <c r="O79" s="154"/>
      <c r="P79" s="156"/>
      <c r="Q79" s="156"/>
      <c r="R79" s="157"/>
      <c r="S79" s="157"/>
      <c r="T79" s="155"/>
      <c r="U79" s="155"/>
      <c r="V79" s="158"/>
      <c r="W79" s="159"/>
      <c r="X79" s="160"/>
      <c r="Y79" s="154"/>
      <c r="Z79" s="161"/>
      <c r="AA79" s="162"/>
      <c r="AB79" s="163"/>
    </row>
    <row r="80" spans="1:28">
      <c r="A80" s="152"/>
      <c r="B80" s="152"/>
      <c r="C80" s="152"/>
      <c r="D80" s="153"/>
      <c r="E80" s="154"/>
      <c r="F80" s="154"/>
      <c r="G80" s="154"/>
      <c r="H80" s="154"/>
      <c r="I80" s="154"/>
      <c r="J80" s="154"/>
      <c r="K80" s="154"/>
      <c r="L80" s="154"/>
      <c r="M80" s="155"/>
      <c r="N80" s="155"/>
      <c r="O80" s="154"/>
      <c r="P80" s="156"/>
      <c r="Q80" s="156"/>
      <c r="R80" s="157"/>
      <c r="S80" s="157"/>
      <c r="T80" s="155"/>
      <c r="U80" s="155"/>
      <c r="V80" s="158"/>
      <c r="W80" s="159"/>
      <c r="X80" s="160"/>
      <c r="Y80" s="154"/>
      <c r="Z80" s="161"/>
      <c r="AA80" s="162"/>
      <c r="AB80" s="163"/>
    </row>
    <row r="81" spans="1:28">
      <c r="A81" s="152"/>
      <c r="B81" s="152"/>
      <c r="C81" s="152"/>
      <c r="D81" s="153"/>
      <c r="E81" s="154"/>
      <c r="F81" s="154"/>
      <c r="G81" s="154"/>
      <c r="H81" s="154"/>
      <c r="I81" s="154"/>
      <c r="J81" s="154"/>
      <c r="K81" s="154"/>
      <c r="L81" s="154"/>
      <c r="M81" s="155"/>
      <c r="N81" s="155"/>
      <c r="O81" s="154"/>
      <c r="P81" s="156"/>
      <c r="Q81" s="156"/>
      <c r="R81" s="157"/>
      <c r="S81" s="157"/>
      <c r="T81" s="155"/>
      <c r="U81" s="155"/>
      <c r="V81" s="158"/>
      <c r="W81" s="159"/>
      <c r="X81" s="160"/>
      <c r="Y81" s="154"/>
      <c r="Z81" s="161"/>
      <c r="AA81" s="162"/>
      <c r="AB81" s="163"/>
    </row>
    <row r="82" spans="1:28">
      <c r="A82" s="152"/>
      <c r="B82" s="152"/>
      <c r="C82" s="152"/>
      <c r="D82" s="153"/>
      <c r="E82" s="154"/>
      <c r="F82" s="154"/>
      <c r="G82" s="154"/>
      <c r="H82" s="154"/>
      <c r="I82" s="154"/>
      <c r="J82" s="154"/>
      <c r="K82" s="154"/>
      <c r="L82" s="154"/>
      <c r="M82" s="155"/>
      <c r="N82" s="155"/>
      <c r="O82" s="154"/>
      <c r="P82" s="156"/>
      <c r="Q82" s="156"/>
      <c r="R82" s="157"/>
      <c r="S82" s="157"/>
      <c r="T82" s="155"/>
      <c r="U82" s="155"/>
      <c r="V82" s="158"/>
      <c r="W82" s="159"/>
      <c r="X82" s="160"/>
      <c r="Y82" s="154"/>
      <c r="Z82" s="161"/>
      <c r="AA82" s="162"/>
      <c r="AB82" s="163"/>
    </row>
    <row r="83" spans="1:28">
      <c r="A83" s="152"/>
      <c r="B83" s="152"/>
      <c r="C83" s="152"/>
      <c r="D83" s="153"/>
      <c r="E83" s="154"/>
      <c r="F83" s="154"/>
      <c r="G83" s="154"/>
      <c r="H83" s="154"/>
      <c r="I83" s="154"/>
      <c r="J83" s="154"/>
      <c r="K83" s="154"/>
      <c r="L83" s="154"/>
      <c r="M83" s="155"/>
      <c r="N83" s="155"/>
      <c r="O83" s="154"/>
      <c r="P83" s="156"/>
      <c r="Q83" s="156"/>
      <c r="R83" s="157"/>
      <c r="S83" s="157"/>
      <c r="T83" s="155"/>
      <c r="U83" s="155"/>
      <c r="V83" s="158"/>
      <c r="W83" s="159"/>
      <c r="X83" s="160"/>
      <c r="Y83" s="154"/>
      <c r="Z83" s="161"/>
      <c r="AA83" s="162"/>
      <c r="AB83" s="163"/>
    </row>
    <row r="84" spans="1:28">
      <c r="A84" s="152"/>
      <c r="B84" s="152"/>
      <c r="C84" s="152"/>
      <c r="D84" s="153"/>
      <c r="E84" s="154"/>
      <c r="F84" s="154"/>
      <c r="G84" s="154"/>
      <c r="H84" s="154"/>
      <c r="I84" s="154"/>
      <c r="J84" s="154"/>
      <c r="K84" s="154"/>
      <c r="L84" s="154"/>
      <c r="M84" s="155"/>
      <c r="N84" s="155"/>
      <c r="O84" s="154"/>
      <c r="P84" s="156"/>
      <c r="Q84" s="156"/>
      <c r="R84" s="157"/>
      <c r="S84" s="157"/>
      <c r="T84" s="155"/>
      <c r="U84" s="155"/>
      <c r="V84" s="158"/>
      <c r="W84" s="159"/>
      <c r="X84" s="160"/>
      <c r="Y84" s="154"/>
      <c r="Z84" s="161"/>
      <c r="AA84" s="162"/>
      <c r="AB84" s="163"/>
    </row>
    <row r="85" spans="1:28">
      <c r="A85" s="152"/>
      <c r="B85" s="152"/>
      <c r="C85" s="152"/>
      <c r="D85" s="153"/>
      <c r="E85" s="154"/>
      <c r="F85" s="154"/>
      <c r="G85" s="154"/>
      <c r="H85" s="154"/>
      <c r="I85" s="154"/>
      <c r="J85" s="154"/>
      <c r="K85" s="154"/>
      <c r="L85" s="154"/>
      <c r="M85" s="155"/>
      <c r="N85" s="155"/>
      <c r="O85" s="154"/>
      <c r="P85" s="156"/>
      <c r="Q85" s="156"/>
      <c r="R85" s="157"/>
      <c r="S85" s="157"/>
      <c r="T85" s="155"/>
      <c r="U85" s="155"/>
      <c r="V85" s="158"/>
      <c r="W85" s="159"/>
      <c r="X85" s="160"/>
      <c r="Y85" s="154"/>
      <c r="Z85" s="161"/>
      <c r="AA85" s="162"/>
      <c r="AB85" s="163"/>
    </row>
    <row r="86" spans="1:28">
      <c r="A86" s="152"/>
      <c r="B86" s="152"/>
      <c r="C86" s="152"/>
      <c r="D86" s="153"/>
      <c r="E86" s="154"/>
      <c r="F86" s="154"/>
      <c r="G86" s="154"/>
      <c r="H86" s="154"/>
      <c r="I86" s="154"/>
      <c r="J86" s="154"/>
      <c r="K86" s="154"/>
      <c r="L86" s="154"/>
      <c r="M86" s="155"/>
      <c r="N86" s="155"/>
      <c r="O86" s="154"/>
      <c r="P86" s="156"/>
      <c r="Q86" s="156"/>
      <c r="R86" s="157"/>
      <c r="S86" s="157"/>
      <c r="T86" s="155"/>
      <c r="U86" s="155"/>
      <c r="V86" s="158"/>
      <c r="W86" s="159"/>
      <c r="X86" s="160"/>
      <c r="Y86" s="154"/>
      <c r="Z86" s="161"/>
      <c r="AA86" s="162"/>
      <c r="AB86" s="163"/>
    </row>
    <row r="87" spans="1:28">
      <c r="A87" s="152"/>
      <c r="B87" s="152"/>
      <c r="C87" s="152"/>
      <c r="D87" s="153"/>
      <c r="E87" s="154"/>
      <c r="F87" s="154"/>
      <c r="G87" s="154"/>
      <c r="H87" s="154"/>
      <c r="I87" s="154"/>
      <c r="J87" s="154"/>
      <c r="K87" s="154"/>
      <c r="L87" s="154"/>
      <c r="M87" s="155"/>
      <c r="N87" s="155"/>
      <c r="O87" s="154"/>
      <c r="P87" s="156"/>
      <c r="Q87" s="156"/>
      <c r="R87" s="157"/>
      <c r="S87" s="157"/>
      <c r="T87" s="155"/>
      <c r="U87" s="155"/>
      <c r="V87" s="158"/>
      <c r="W87" s="159"/>
      <c r="X87" s="160"/>
      <c r="Y87" s="154"/>
      <c r="Z87" s="161"/>
      <c r="AA87" s="162"/>
      <c r="AB87" s="163"/>
    </row>
    <row r="88" spans="1:28">
      <c r="A88" s="152"/>
      <c r="B88" s="152"/>
      <c r="C88" s="152"/>
      <c r="D88" s="153"/>
      <c r="E88" s="154"/>
      <c r="F88" s="154"/>
      <c r="G88" s="154"/>
      <c r="H88" s="154"/>
      <c r="I88" s="154"/>
      <c r="J88" s="154"/>
      <c r="K88" s="154"/>
      <c r="L88" s="154"/>
      <c r="M88" s="155"/>
      <c r="N88" s="155"/>
      <c r="O88" s="154"/>
      <c r="P88" s="156"/>
      <c r="Q88" s="156"/>
      <c r="R88" s="157"/>
      <c r="S88" s="157"/>
      <c r="T88" s="155"/>
      <c r="U88" s="155"/>
      <c r="V88" s="158"/>
      <c r="W88" s="159"/>
      <c r="X88" s="160"/>
      <c r="Y88" s="154"/>
      <c r="Z88" s="161"/>
      <c r="AA88" s="162"/>
      <c r="AB88" s="163"/>
    </row>
    <row r="89" spans="1:28">
      <c r="A89" s="152"/>
      <c r="B89" s="152"/>
      <c r="C89" s="152"/>
      <c r="D89" s="153"/>
      <c r="E89" s="154"/>
      <c r="F89" s="154"/>
      <c r="G89" s="154"/>
      <c r="H89" s="154"/>
      <c r="I89" s="154"/>
      <c r="J89" s="154"/>
      <c r="K89" s="154"/>
      <c r="L89" s="154"/>
      <c r="M89" s="155"/>
      <c r="N89" s="155"/>
      <c r="O89" s="154"/>
      <c r="P89" s="156"/>
      <c r="Q89" s="156"/>
      <c r="R89" s="157"/>
      <c r="S89" s="157"/>
      <c r="T89" s="155"/>
      <c r="U89" s="155"/>
      <c r="V89" s="158"/>
      <c r="W89" s="159"/>
      <c r="X89" s="160"/>
      <c r="Y89" s="154"/>
      <c r="Z89" s="161"/>
      <c r="AA89" s="162"/>
      <c r="AB89" s="163"/>
    </row>
    <row r="90" spans="1:28">
      <c r="A90" s="152"/>
      <c r="B90" s="152"/>
      <c r="C90" s="152"/>
      <c r="D90" s="153"/>
      <c r="E90" s="154"/>
      <c r="F90" s="154"/>
      <c r="G90" s="154"/>
      <c r="H90" s="154"/>
      <c r="I90" s="154"/>
      <c r="J90" s="154"/>
      <c r="K90" s="154"/>
      <c r="L90" s="154"/>
      <c r="M90" s="155"/>
      <c r="N90" s="155"/>
      <c r="O90" s="154"/>
      <c r="P90" s="156"/>
      <c r="Q90" s="156"/>
      <c r="R90" s="157"/>
      <c r="S90" s="157"/>
      <c r="T90" s="155"/>
      <c r="U90" s="155"/>
      <c r="V90" s="158"/>
      <c r="W90" s="159"/>
      <c r="X90" s="160"/>
      <c r="Y90" s="154"/>
      <c r="Z90" s="161"/>
      <c r="AA90" s="162"/>
      <c r="AB90" s="163"/>
    </row>
    <row r="91" spans="1:28">
      <c r="A91" s="152"/>
      <c r="B91" s="152"/>
      <c r="C91" s="152"/>
      <c r="D91" s="153"/>
      <c r="E91" s="154"/>
      <c r="F91" s="154"/>
      <c r="G91" s="154"/>
      <c r="H91" s="154"/>
      <c r="I91" s="154"/>
      <c r="J91" s="154"/>
      <c r="K91" s="154"/>
      <c r="L91" s="154"/>
      <c r="M91" s="155"/>
      <c r="N91" s="155"/>
      <c r="O91" s="154"/>
      <c r="P91" s="156"/>
      <c r="Q91" s="156"/>
      <c r="R91" s="157"/>
      <c r="S91" s="157"/>
      <c r="T91" s="155"/>
      <c r="U91" s="155"/>
      <c r="V91" s="158"/>
      <c r="W91" s="159"/>
      <c r="X91" s="160"/>
      <c r="Y91" s="154"/>
      <c r="Z91" s="161"/>
      <c r="AA91" s="162"/>
      <c r="AB91" s="163"/>
    </row>
    <row r="92" spans="1:28">
      <c r="A92" s="152"/>
      <c r="B92" s="152"/>
      <c r="C92" s="152"/>
      <c r="D92" s="153"/>
      <c r="E92" s="154"/>
      <c r="F92" s="154"/>
      <c r="G92" s="154"/>
      <c r="H92" s="154"/>
      <c r="I92" s="154"/>
      <c r="J92" s="154"/>
      <c r="K92" s="154"/>
      <c r="L92" s="154"/>
      <c r="M92" s="155"/>
      <c r="N92" s="155"/>
      <c r="O92" s="154"/>
      <c r="P92" s="156"/>
      <c r="Q92" s="156"/>
      <c r="R92" s="157"/>
      <c r="S92" s="157"/>
      <c r="T92" s="155"/>
      <c r="U92" s="155"/>
      <c r="V92" s="158"/>
      <c r="W92" s="159"/>
      <c r="X92" s="160"/>
      <c r="Y92" s="154"/>
      <c r="Z92" s="161"/>
      <c r="AA92" s="162"/>
      <c r="AB92" s="163"/>
    </row>
    <row r="93" spans="1:28">
      <c r="A93" s="152"/>
      <c r="B93" s="152"/>
      <c r="C93" s="152"/>
      <c r="D93" s="153"/>
      <c r="E93" s="154"/>
      <c r="F93" s="154"/>
      <c r="G93" s="154"/>
      <c r="H93" s="154"/>
      <c r="I93" s="154"/>
      <c r="J93" s="154"/>
      <c r="K93" s="154"/>
      <c r="L93" s="154"/>
      <c r="M93" s="155"/>
      <c r="N93" s="155"/>
      <c r="O93" s="154"/>
      <c r="P93" s="156"/>
      <c r="Q93" s="156"/>
      <c r="R93" s="157"/>
      <c r="S93" s="157"/>
      <c r="T93" s="155"/>
      <c r="U93" s="155"/>
      <c r="V93" s="158"/>
      <c r="W93" s="159"/>
      <c r="X93" s="160"/>
      <c r="Y93" s="154"/>
      <c r="Z93" s="161"/>
      <c r="AA93" s="162"/>
      <c r="AB93" s="163"/>
    </row>
    <row r="94" spans="1:28">
      <c r="A94" s="152"/>
      <c r="B94" s="152"/>
      <c r="C94" s="152"/>
      <c r="D94" s="153"/>
      <c r="E94" s="154"/>
      <c r="F94" s="154"/>
      <c r="G94" s="154"/>
      <c r="H94" s="154"/>
      <c r="I94" s="154"/>
      <c r="J94" s="154"/>
      <c r="K94" s="154"/>
      <c r="L94" s="154"/>
      <c r="M94" s="155"/>
      <c r="N94" s="155"/>
      <c r="O94" s="154"/>
      <c r="P94" s="156"/>
      <c r="Q94" s="156"/>
      <c r="R94" s="157"/>
      <c r="S94" s="157"/>
      <c r="T94" s="155"/>
      <c r="U94" s="155"/>
      <c r="V94" s="158"/>
      <c r="W94" s="159"/>
      <c r="X94" s="160"/>
      <c r="Y94" s="154"/>
      <c r="Z94" s="161"/>
      <c r="AA94" s="162"/>
      <c r="AB94" s="163"/>
    </row>
    <row r="95" spans="1:28">
      <c r="A95" s="152"/>
      <c r="B95" s="152"/>
      <c r="C95" s="152"/>
      <c r="D95" s="153"/>
      <c r="E95" s="154"/>
      <c r="F95" s="154"/>
      <c r="G95" s="154"/>
      <c r="H95" s="154"/>
      <c r="I95" s="154"/>
      <c r="J95" s="154"/>
      <c r="K95" s="154"/>
      <c r="L95" s="154"/>
      <c r="M95" s="155"/>
      <c r="N95" s="155"/>
      <c r="O95" s="154"/>
      <c r="P95" s="156"/>
      <c r="Q95" s="156"/>
      <c r="R95" s="157"/>
      <c r="S95" s="157"/>
      <c r="T95" s="155"/>
      <c r="U95" s="155"/>
      <c r="V95" s="158"/>
      <c r="W95" s="159"/>
      <c r="X95" s="160"/>
      <c r="Y95" s="154"/>
      <c r="Z95" s="161"/>
      <c r="AA95" s="162"/>
      <c r="AB95" s="163"/>
    </row>
    <row r="96" spans="1:28">
      <c r="A96" s="152"/>
      <c r="B96" s="152"/>
      <c r="C96" s="152"/>
      <c r="D96" s="153"/>
      <c r="E96" s="154"/>
      <c r="F96" s="154"/>
      <c r="G96" s="154"/>
      <c r="H96" s="154"/>
      <c r="I96" s="154"/>
      <c r="J96" s="154"/>
      <c r="K96" s="154"/>
      <c r="L96" s="154"/>
      <c r="M96" s="155"/>
      <c r="N96" s="155"/>
      <c r="O96" s="154"/>
      <c r="P96" s="156"/>
      <c r="Q96" s="156"/>
      <c r="R96" s="157"/>
      <c r="S96" s="157"/>
      <c r="T96" s="155"/>
      <c r="U96" s="155"/>
      <c r="V96" s="158"/>
      <c r="W96" s="159"/>
      <c r="X96" s="160"/>
      <c r="Y96" s="154"/>
      <c r="Z96" s="161"/>
      <c r="AA96" s="162"/>
      <c r="AB96" s="163"/>
    </row>
    <row r="97" spans="1:28">
      <c r="A97" s="181"/>
      <c r="B97" s="181"/>
      <c r="C97" s="181"/>
      <c r="D97" s="182"/>
      <c r="E97" s="183"/>
      <c r="F97" s="183"/>
      <c r="G97" s="183"/>
      <c r="H97" s="183"/>
      <c r="I97" s="183"/>
      <c r="J97" s="183"/>
      <c r="K97" s="183"/>
      <c r="L97" s="183"/>
      <c r="M97" s="184"/>
      <c r="N97" s="184"/>
      <c r="O97" s="183"/>
      <c r="P97" s="185"/>
      <c r="Q97" s="185"/>
      <c r="R97" s="186"/>
      <c r="S97" s="186"/>
      <c r="T97" s="184"/>
      <c r="U97" s="184"/>
      <c r="V97" s="187"/>
      <c r="W97" s="188"/>
      <c r="X97" s="189"/>
      <c r="Y97" s="183"/>
      <c r="Z97" s="190"/>
      <c r="AA97" s="191"/>
      <c r="AB97" s="192"/>
    </row>
  </sheetData>
  <sheetProtection formatCells="0" formatColumns="0" formatRows="0" insertColumns="0" insertRows="0" insertHyperlinks="0" deleteColumns="0" deleteRows="0" sort="0" autoFilter="0" pivotTables="0"/>
  <dataConsolidate/>
  <mergeCells count="27">
    <mergeCell ref="Q3:Q4"/>
    <mergeCell ref="R3:R4"/>
    <mergeCell ref="S3:S4"/>
    <mergeCell ref="Y3:Y4"/>
    <mergeCell ref="AB3:AB4"/>
    <mergeCell ref="T3:T4"/>
    <mergeCell ref="U3:U4"/>
    <mergeCell ref="V3:V4"/>
    <mergeCell ref="W3:W4"/>
    <mergeCell ref="X3:X4"/>
    <mergeCell ref="AA3:AA4"/>
    <mergeCell ref="AC3:AF3"/>
    <mergeCell ref="AC1:CA1"/>
    <mergeCell ref="AG3:AJ3"/>
    <mergeCell ref="AK3:AN3"/>
    <mergeCell ref="A3:A4"/>
    <mergeCell ref="B3:B4"/>
    <mergeCell ref="C3:C4"/>
    <mergeCell ref="D3:D4"/>
    <mergeCell ref="E3:K4"/>
    <mergeCell ref="D2:F2"/>
    <mergeCell ref="L3:L4"/>
    <mergeCell ref="M3:M4"/>
    <mergeCell ref="N3:N4"/>
    <mergeCell ref="Z3:Z4"/>
    <mergeCell ref="O3:O4"/>
    <mergeCell ref="P3:P4"/>
  </mergeCells>
  <phoneticPr fontId="5" type="noConversion"/>
  <conditionalFormatting sqref="D5:AB23">
    <cfRule type="expression" dxfId="2" priority="2">
      <formula>($B5="G")</formula>
    </cfRule>
    <cfRule type="expression" dxfId="1" priority="1">
      <formula>($AB5=1)</formula>
    </cfRule>
  </conditionalFormatting>
  <hyperlinks>
    <hyperlink ref="AC1:CA1" r:id="rId1" display="http://xlworks.net/"/>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W30"/>
  <sheetViews>
    <sheetView showGridLines="0" zoomScaleNormal="100" workbookViewId="0">
      <pane ySplit="1" topLeftCell="A2" activePane="bottomLeft" state="frozenSplit"/>
      <selection activeCell="E5" sqref="E5"/>
      <selection pane="bottomLeft" activeCell="C27" sqref="C27"/>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16384" width="10" style="59"/>
  </cols>
  <sheetData>
    <row r="1" spans="1:17" s="4" customFormat="1" ht="36.950000000000003" customHeight="1">
      <c r="A1" s="1" t="s">
        <v>1087</v>
      </c>
      <c r="B1" s="2"/>
      <c r="C1" s="2"/>
      <c r="D1" s="2"/>
      <c r="E1" s="2"/>
      <c r="F1" s="2"/>
      <c r="G1" s="2"/>
      <c r="H1" s="2"/>
      <c r="I1" s="2"/>
      <c r="J1" s="2"/>
      <c r="K1" s="2"/>
      <c r="L1" s="229"/>
      <c r="M1" s="230"/>
      <c r="N1" s="230"/>
      <c r="O1" s="3"/>
      <c r="P1" s="3"/>
      <c r="Q1" s="3"/>
    </row>
    <row r="2" spans="1:17" s="7" customFormat="1" ht="12.75">
      <c r="A2" s="5" t="s">
        <v>1088</v>
      </c>
      <c r="B2" s="6"/>
    </row>
    <row r="3" spans="1:17" s="7" customFormat="1" ht="12.75">
      <c r="A3" s="5" t="s">
        <v>1089</v>
      </c>
      <c r="B3" s="6"/>
    </row>
    <row r="4" spans="1:17" s="7" customFormat="1" ht="12.75">
      <c r="A4" s="231"/>
      <c r="B4" s="231"/>
      <c r="C4" s="8"/>
      <c r="D4" s="9"/>
      <c r="E4" s="9"/>
      <c r="F4" s="9"/>
    </row>
    <row r="5" spans="1:17" s="15" customFormat="1" ht="12.75">
      <c r="A5" s="10"/>
      <c r="B5" s="11"/>
      <c r="C5" s="12"/>
      <c r="D5" s="13"/>
      <c r="E5" s="14"/>
      <c r="F5" s="14"/>
      <c r="G5" s="14"/>
    </row>
    <row r="6" spans="1:17" s="15" customFormat="1" ht="12.75">
      <c r="A6" s="16" t="s">
        <v>1090</v>
      </c>
      <c r="B6" s="17">
        <v>135</v>
      </c>
      <c r="C6" s="15" t="s">
        <v>1091</v>
      </c>
      <c r="D6" s="228" t="s">
        <v>1092</v>
      </c>
      <c r="E6" s="228"/>
      <c r="F6" s="228"/>
      <c r="G6" s="228"/>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1093</v>
      </c>
      <c r="B9" s="17">
        <v>5</v>
      </c>
      <c r="C9" s="15" t="s">
        <v>1091</v>
      </c>
      <c r="D9" s="227" t="s">
        <v>1094</v>
      </c>
      <c r="E9" s="227"/>
      <c r="F9" s="227"/>
      <c r="G9" s="227"/>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1095</v>
      </c>
      <c r="B12" s="17">
        <v>5</v>
      </c>
      <c r="C12" s="15" t="s">
        <v>1091</v>
      </c>
      <c r="D12" s="227" t="s">
        <v>1096</v>
      </c>
      <c r="E12" s="227"/>
      <c r="F12" s="227"/>
      <c r="G12" s="227"/>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1095</v>
      </c>
      <c r="B15" s="17"/>
      <c r="C15" s="15" t="s">
        <v>1091</v>
      </c>
      <c r="D15" s="227" t="s">
        <v>1097</v>
      </c>
      <c r="E15" s="227"/>
      <c r="F15" s="227"/>
      <c r="G15" s="227"/>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1098</v>
      </c>
      <c r="B18" s="39">
        <v>3.7037037037037035E-2</v>
      </c>
      <c r="D18" s="227" t="s">
        <v>1099</v>
      </c>
      <c r="E18" s="227"/>
      <c r="F18" s="227"/>
      <c r="G18" s="227"/>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1100</v>
      </c>
      <c r="B21" s="39">
        <v>3.7037037037037035E-2</v>
      </c>
      <c r="D21" s="227" t="s">
        <v>1101</v>
      </c>
      <c r="E21" s="227"/>
      <c r="F21" s="227"/>
      <c r="G21" s="227"/>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1102</v>
      </c>
      <c r="B24" s="49">
        <f>ACTUAL_RATE-PLANNED_RATE</f>
        <v>0</v>
      </c>
      <c r="D24" s="228" t="s">
        <v>1103</v>
      </c>
      <c r="E24" s="228"/>
      <c r="F24" s="228"/>
      <c r="G24" s="228"/>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0"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F29"/>
  <sheetViews>
    <sheetView showGridLines="0" zoomScale="80" zoomScaleNormal="80" workbookViewId="0">
      <pane ySplit="1" topLeftCell="A2" activePane="bottomLeft" state="frozen"/>
      <selection pane="bottomLeft"/>
    </sheetView>
  </sheetViews>
  <sheetFormatPr defaultColWidth="9.125" defaultRowHeight="15"/>
  <cols>
    <col min="1" max="1" width="1.625" style="118" customWidth="1"/>
    <col min="2" max="3" width="10.625" style="118" bestFit="1" customWidth="1"/>
    <col min="4" max="4" width="9.125" style="118"/>
    <col min="5" max="5" width="10.625" style="118" customWidth="1"/>
    <col min="6" max="16384" width="9.125" style="118"/>
  </cols>
  <sheetData>
    <row r="1" spans="2:6" ht="36.950000000000003" customHeight="1">
      <c r="B1" s="62" t="s">
        <v>1104</v>
      </c>
    </row>
    <row r="2" spans="2:6">
      <c r="B2" s="118" t="s">
        <v>1105</v>
      </c>
    </row>
    <row r="3" spans="2:6">
      <c r="B3" s="118" t="s">
        <v>1106</v>
      </c>
    </row>
    <row r="6" spans="2:6" ht="30">
      <c r="B6" s="63" t="s">
        <v>1107</v>
      </c>
      <c r="C6" s="112" t="s">
        <v>1108</v>
      </c>
      <c r="D6" s="112" t="s">
        <v>487</v>
      </c>
      <c r="E6" s="112" t="s">
        <v>1109</v>
      </c>
      <c r="F6" s="117" t="s">
        <v>1110</v>
      </c>
    </row>
    <row r="7" spans="2:6">
      <c r="B7" s="113">
        <v>43375</v>
      </c>
      <c r="C7" s="113">
        <v>43379</v>
      </c>
      <c r="D7" s="114">
        <v>1</v>
      </c>
      <c r="E7" s="114">
        <f>D7</f>
        <v>1</v>
      </c>
      <c r="F7" s="119">
        <f t="shared" ref="F7:F28" si="0">E7/$D$29</f>
        <v>3.8022813688212928E-3</v>
      </c>
    </row>
    <row r="8" spans="2:6">
      <c r="B8" s="115">
        <v>43380</v>
      </c>
      <c r="C8" s="115">
        <v>43386</v>
      </c>
      <c r="D8" s="116">
        <v>10</v>
      </c>
      <c r="E8" s="116">
        <f>E7+D8</f>
        <v>11</v>
      </c>
      <c r="F8" s="120">
        <f t="shared" si="0"/>
        <v>4.1825095057034217E-2</v>
      </c>
    </row>
    <row r="9" spans="2:6">
      <c r="B9" s="115">
        <v>43387</v>
      </c>
      <c r="C9" s="115">
        <v>43393</v>
      </c>
      <c r="D9" s="116">
        <v>15</v>
      </c>
      <c r="E9" s="116">
        <f t="shared" ref="E9:E28" si="1">E8+D9</f>
        <v>26</v>
      </c>
      <c r="F9" s="120">
        <f t="shared" si="0"/>
        <v>9.8859315589353611E-2</v>
      </c>
    </row>
    <row r="10" spans="2:6">
      <c r="B10" s="115">
        <v>43394</v>
      </c>
      <c r="C10" s="115">
        <v>43400</v>
      </c>
      <c r="D10" s="116">
        <v>10</v>
      </c>
      <c r="E10" s="116">
        <f t="shared" si="1"/>
        <v>36</v>
      </c>
      <c r="F10" s="120">
        <f t="shared" si="0"/>
        <v>0.13688212927756654</v>
      </c>
    </row>
    <row r="11" spans="2:6">
      <c r="B11" s="115">
        <v>43401</v>
      </c>
      <c r="C11" s="115">
        <v>43407</v>
      </c>
      <c r="D11" s="116">
        <v>9</v>
      </c>
      <c r="E11" s="116">
        <f t="shared" si="1"/>
        <v>45</v>
      </c>
      <c r="F11" s="120">
        <f t="shared" si="0"/>
        <v>0.17110266159695817</v>
      </c>
    </row>
    <row r="12" spans="2:6">
      <c r="B12" s="115">
        <v>43408</v>
      </c>
      <c r="C12" s="115">
        <v>43414</v>
      </c>
      <c r="D12" s="116">
        <v>12</v>
      </c>
      <c r="E12" s="116">
        <f t="shared" si="1"/>
        <v>57</v>
      </c>
      <c r="F12" s="120">
        <f t="shared" si="0"/>
        <v>0.21673003802281368</v>
      </c>
    </row>
    <row r="13" spans="2:6">
      <c r="B13" s="115">
        <v>43415</v>
      </c>
      <c r="C13" s="115">
        <v>43421</v>
      </c>
      <c r="D13" s="116">
        <v>14</v>
      </c>
      <c r="E13" s="116">
        <f t="shared" si="1"/>
        <v>71</v>
      </c>
      <c r="F13" s="120">
        <f t="shared" si="0"/>
        <v>0.26996197718631176</v>
      </c>
    </row>
    <row r="14" spans="2:6">
      <c r="B14" s="115">
        <v>43422</v>
      </c>
      <c r="C14" s="115">
        <v>43428</v>
      </c>
      <c r="D14" s="116">
        <v>7</v>
      </c>
      <c r="E14" s="116">
        <f t="shared" si="1"/>
        <v>78</v>
      </c>
      <c r="F14" s="120">
        <f t="shared" si="0"/>
        <v>0.29657794676806082</v>
      </c>
    </row>
    <row r="15" spans="2:6">
      <c r="B15" s="115">
        <v>43429</v>
      </c>
      <c r="C15" s="115">
        <v>43435</v>
      </c>
      <c r="D15" s="116">
        <v>8</v>
      </c>
      <c r="E15" s="116">
        <f t="shared" si="1"/>
        <v>86</v>
      </c>
      <c r="F15" s="120">
        <f t="shared" si="0"/>
        <v>0.3269961977186312</v>
      </c>
    </row>
    <row r="16" spans="2:6">
      <c r="B16" s="115">
        <v>43436</v>
      </c>
      <c r="C16" s="115">
        <v>43442</v>
      </c>
      <c r="D16" s="116">
        <v>18</v>
      </c>
      <c r="E16" s="116">
        <f t="shared" si="1"/>
        <v>104</v>
      </c>
      <c r="F16" s="120">
        <f t="shared" si="0"/>
        <v>0.39543726235741444</v>
      </c>
    </row>
    <row r="17" spans="2:6">
      <c r="B17" s="115">
        <v>43443</v>
      </c>
      <c r="C17" s="115">
        <v>43449</v>
      </c>
      <c r="D17" s="116">
        <v>18</v>
      </c>
      <c r="E17" s="116">
        <f t="shared" si="1"/>
        <v>122</v>
      </c>
      <c r="F17" s="120">
        <f t="shared" si="0"/>
        <v>0.46387832699619774</v>
      </c>
    </row>
    <row r="18" spans="2:6">
      <c r="B18" s="115">
        <v>43450</v>
      </c>
      <c r="C18" s="115">
        <v>43456</v>
      </c>
      <c r="D18" s="116">
        <v>17</v>
      </c>
      <c r="E18" s="116">
        <f t="shared" si="1"/>
        <v>139</v>
      </c>
      <c r="F18" s="120">
        <f t="shared" si="0"/>
        <v>0.52851711026615966</v>
      </c>
    </row>
    <row r="19" spans="2:6">
      <c r="B19" s="115">
        <v>43457</v>
      </c>
      <c r="C19" s="115">
        <v>43463</v>
      </c>
      <c r="D19" s="116">
        <v>12</v>
      </c>
      <c r="E19" s="116">
        <f t="shared" si="1"/>
        <v>151</v>
      </c>
      <c r="F19" s="120">
        <f t="shared" si="0"/>
        <v>0.57414448669201523</v>
      </c>
    </row>
    <row r="20" spans="2:6">
      <c r="B20" s="115">
        <v>43464</v>
      </c>
      <c r="C20" s="115">
        <v>43470</v>
      </c>
      <c r="D20" s="116">
        <v>14</v>
      </c>
      <c r="E20" s="116">
        <f t="shared" si="1"/>
        <v>165</v>
      </c>
      <c r="F20" s="120">
        <f t="shared" si="0"/>
        <v>0.62737642585551334</v>
      </c>
    </row>
    <row r="21" spans="2:6">
      <c r="B21" s="115">
        <v>43471</v>
      </c>
      <c r="C21" s="115">
        <v>43477</v>
      </c>
      <c r="D21" s="116">
        <v>21</v>
      </c>
      <c r="E21" s="116">
        <f t="shared" si="1"/>
        <v>186</v>
      </c>
      <c r="F21" s="120">
        <f t="shared" si="0"/>
        <v>0.70722433460076051</v>
      </c>
    </row>
    <row r="22" spans="2:6">
      <c r="B22" s="115">
        <v>43478</v>
      </c>
      <c r="C22" s="115">
        <v>43484</v>
      </c>
      <c r="D22" s="116">
        <v>25</v>
      </c>
      <c r="E22" s="116">
        <f t="shared" si="1"/>
        <v>211</v>
      </c>
      <c r="F22" s="120">
        <f t="shared" si="0"/>
        <v>0.80228136882129275</v>
      </c>
    </row>
    <row r="23" spans="2:6">
      <c r="B23" s="115">
        <v>43485</v>
      </c>
      <c r="C23" s="115">
        <v>43491</v>
      </c>
      <c r="D23" s="116">
        <v>25</v>
      </c>
      <c r="E23" s="116">
        <f t="shared" si="1"/>
        <v>236</v>
      </c>
      <c r="F23" s="120">
        <f t="shared" si="0"/>
        <v>0.89733840304182511</v>
      </c>
    </row>
    <row r="24" spans="2:6">
      <c r="B24" s="115">
        <v>43492</v>
      </c>
      <c r="C24" s="115">
        <v>43498</v>
      </c>
      <c r="D24" s="116">
        <v>8</v>
      </c>
      <c r="E24" s="116">
        <f t="shared" si="1"/>
        <v>244</v>
      </c>
      <c r="F24" s="120">
        <f t="shared" si="0"/>
        <v>0.92775665399239549</v>
      </c>
    </row>
    <row r="25" spans="2:6">
      <c r="B25" s="115">
        <v>43499</v>
      </c>
      <c r="C25" s="115">
        <v>43505</v>
      </c>
      <c r="D25" s="116">
        <v>6</v>
      </c>
      <c r="E25" s="116">
        <f t="shared" si="1"/>
        <v>250</v>
      </c>
      <c r="F25" s="120">
        <f t="shared" si="0"/>
        <v>0.95057034220532322</v>
      </c>
    </row>
    <row r="26" spans="2:6">
      <c r="B26" s="115">
        <v>43506</v>
      </c>
      <c r="C26" s="115">
        <v>43512</v>
      </c>
      <c r="D26" s="116">
        <v>4</v>
      </c>
      <c r="E26" s="116">
        <f t="shared" si="1"/>
        <v>254</v>
      </c>
      <c r="F26" s="120">
        <f t="shared" si="0"/>
        <v>0.96577946768060841</v>
      </c>
    </row>
    <row r="27" spans="2:6">
      <c r="B27" s="115">
        <v>43513</v>
      </c>
      <c r="C27" s="115">
        <v>43519</v>
      </c>
      <c r="D27" s="116">
        <v>5</v>
      </c>
      <c r="E27" s="116">
        <f t="shared" si="1"/>
        <v>259</v>
      </c>
      <c r="F27" s="120">
        <f t="shared" si="0"/>
        <v>0.98479087452471481</v>
      </c>
    </row>
    <row r="28" spans="2:6">
      <c r="B28" s="115">
        <v>43520</v>
      </c>
      <c r="C28" s="115">
        <v>43526</v>
      </c>
      <c r="D28" s="116">
        <v>4</v>
      </c>
      <c r="E28" s="116">
        <f t="shared" si="1"/>
        <v>263</v>
      </c>
      <c r="F28" s="120">
        <f t="shared" si="0"/>
        <v>1</v>
      </c>
    </row>
    <row r="29" spans="2:6">
      <c r="C29" s="118" t="s">
        <v>1054</v>
      </c>
      <c r="D29" s="118">
        <f>SUM(D7:D28)</f>
        <v>263</v>
      </c>
    </row>
  </sheetData>
  <sortState ref="A7:M47">
    <sortCondition ref="A7:A49"/>
    <sortCondition ref="B7:B49"/>
  </sortState>
  <dataConsolidate/>
  <phoneticPr fontId="2" type="noConversion"/>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305"/>
  <sheetViews>
    <sheetView showGridLines="0" zoomScale="85" zoomScaleNormal="85" workbookViewId="0">
      <pane ySplit="1" topLeftCell="A2" activePane="bottomLeft" state="frozenSplit"/>
      <selection pane="bottomLeft" activeCell="E5" sqref="E5"/>
    </sheetView>
  </sheetViews>
  <sheetFormatPr defaultColWidth="10" defaultRowHeight="15"/>
  <cols>
    <col min="1" max="1" width="31.625" style="64" customWidth="1"/>
    <col min="2" max="2" width="14.5" style="64" customWidth="1"/>
    <col min="3" max="3" width="7.625" style="64" customWidth="1"/>
    <col min="4" max="4" width="21.5" style="64" customWidth="1"/>
    <col min="5" max="5" width="14.125" style="64" customWidth="1"/>
    <col min="6" max="6" width="10" style="64"/>
    <col min="7" max="7" width="24.25" style="64" customWidth="1"/>
    <col min="8" max="8" width="18.375" style="64" bestFit="1" customWidth="1"/>
    <col min="9" max="9" width="11.125" style="64" bestFit="1" customWidth="1"/>
    <col min="10" max="10" width="27.375" style="64" bestFit="1" customWidth="1"/>
    <col min="11" max="19" width="10" style="64"/>
    <col min="20" max="23" width="10" style="64" customWidth="1"/>
    <col min="24" max="16384" width="10" style="64"/>
  </cols>
  <sheetData>
    <row r="1" spans="1:9" ht="36.950000000000003" customHeight="1">
      <c r="A1" s="1" t="s">
        <v>1111</v>
      </c>
      <c r="B1" s="1"/>
      <c r="C1" s="1"/>
      <c r="D1" s="1"/>
      <c r="E1" s="1"/>
      <c r="F1" s="1"/>
      <c r="G1" s="1"/>
      <c r="H1" s="1"/>
    </row>
    <row r="2" spans="1:9" s="65" customFormat="1" ht="78.75" customHeight="1">
      <c r="A2" s="232" t="s">
        <v>1112</v>
      </c>
      <c r="B2" s="232"/>
      <c r="C2" s="232"/>
      <c r="D2" s="232"/>
      <c r="E2" s="232"/>
      <c r="F2" s="232"/>
      <c r="G2" s="232"/>
      <c r="H2" s="232"/>
    </row>
    <row r="3" spans="1:9" s="65" customFormat="1" ht="24.75" customHeight="1">
      <c r="A3" s="233" t="s">
        <v>1113</v>
      </c>
      <c r="B3" s="233"/>
      <c r="D3" s="233" t="s">
        <v>1114</v>
      </c>
      <c r="E3" s="233"/>
      <c r="G3" s="233" t="s">
        <v>1115</v>
      </c>
      <c r="H3" s="233"/>
    </row>
    <row r="4" spans="1:9" s="67" customFormat="1" ht="19.5" customHeight="1">
      <c r="A4" s="66" t="s">
        <v>1116</v>
      </c>
      <c r="B4" s="66" t="s">
        <v>1117</v>
      </c>
      <c r="D4" s="66" t="s">
        <v>1116</v>
      </c>
      <c r="E4" s="66" t="s">
        <v>1117</v>
      </c>
      <c r="G4" s="66" t="s">
        <v>1116</v>
      </c>
      <c r="H4" s="66" t="s">
        <v>1117</v>
      </c>
    </row>
    <row r="5" spans="1:9" ht="16.5">
      <c r="A5" s="90" t="s">
        <v>1118</v>
      </c>
      <c r="B5" s="91">
        <v>43101</v>
      </c>
      <c r="C5" s="64" t="str">
        <f t="shared" ref="C5:C68" si="0">IF(B5&gt;0,TEXT(B5,"(aaa)"),"")</f>
        <v>(월)</v>
      </c>
      <c r="D5" s="68"/>
      <c r="E5" s="69"/>
      <c r="F5" s="64" t="str">
        <f t="shared" ref="F5:F68" si="1">IF(E5&gt;0,TEXT(E5,"(aaa)"),"")</f>
        <v/>
      </c>
      <c r="G5" s="68"/>
      <c r="H5" s="69"/>
      <c r="I5" s="64" t="str">
        <f t="shared" ref="I5:I68" si="2">IF(H5&gt;0,TEXT(H5,"(aaa)"),"")</f>
        <v/>
      </c>
    </row>
    <row r="6" spans="1:9" ht="16.5">
      <c r="A6" s="90" t="s">
        <v>1119</v>
      </c>
      <c r="B6" s="91">
        <v>43146</v>
      </c>
      <c r="C6" s="64" t="str">
        <f t="shared" si="0"/>
        <v>(목)</v>
      </c>
      <c r="D6" s="68"/>
      <c r="E6" s="69"/>
      <c r="F6" s="64" t="str">
        <f t="shared" si="1"/>
        <v/>
      </c>
      <c r="G6" s="68"/>
      <c r="H6" s="69"/>
      <c r="I6" s="64" t="str">
        <f t="shared" si="2"/>
        <v/>
      </c>
    </row>
    <row r="7" spans="1:9" ht="16.5">
      <c r="A7" s="90" t="s">
        <v>1120</v>
      </c>
      <c r="B7" s="91">
        <v>43147</v>
      </c>
      <c r="C7" s="64" t="str">
        <f t="shared" si="0"/>
        <v>(금)</v>
      </c>
      <c r="D7" s="68"/>
      <c r="E7" s="69"/>
      <c r="F7" s="64" t="str">
        <f t="shared" si="1"/>
        <v/>
      </c>
      <c r="G7" s="68"/>
      <c r="H7" s="69"/>
      <c r="I7" s="64" t="str">
        <f t="shared" si="2"/>
        <v/>
      </c>
    </row>
    <row r="8" spans="1:9" ht="16.5">
      <c r="A8" s="90" t="s">
        <v>1121</v>
      </c>
      <c r="B8" s="91">
        <v>43160</v>
      </c>
      <c r="C8" s="64" t="str">
        <f t="shared" si="0"/>
        <v>(목)</v>
      </c>
      <c r="D8" s="68"/>
      <c r="E8" s="69"/>
      <c r="F8" s="64" t="str">
        <f t="shared" si="1"/>
        <v/>
      </c>
      <c r="G8" s="68"/>
      <c r="H8" s="69"/>
      <c r="I8" s="64" t="str">
        <f t="shared" si="2"/>
        <v/>
      </c>
    </row>
    <row r="9" spans="1:9" ht="16.5">
      <c r="A9" s="90" t="s">
        <v>1122</v>
      </c>
      <c r="B9" s="91">
        <v>43227</v>
      </c>
      <c r="C9" s="64" t="str">
        <f t="shared" si="0"/>
        <v>(월)</v>
      </c>
      <c r="D9" s="68"/>
      <c r="E9" s="69"/>
      <c r="F9" s="64" t="str">
        <f t="shared" si="1"/>
        <v/>
      </c>
      <c r="G9" s="68"/>
      <c r="H9" s="69"/>
      <c r="I9" s="64" t="str">
        <f t="shared" si="2"/>
        <v/>
      </c>
    </row>
    <row r="10" spans="1:9" ht="16.5">
      <c r="A10" s="90" t="s">
        <v>1123</v>
      </c>
      <c r="B10" s="91">
        <v>43242</v>
      </c>
      <c r="C10" s="64" t="str">
        <f t="shared" si="0"/>
        <v>(화)</v>
      </c>
      <c r="D10" s="68"/>
      <c r="E10" s="69"/>
      <c r="F10" s="64" t="str">
        <f t="shared" si="1"/>
        <v/>
      </c>
      <c r="G10" s="68"/>
      <c r="H10" s="69"/>
      <c r="I10" s="64" t="str">
        <f t="shared" si="2"/>
        <v/>
      </c>
    </row>
    <row r="11" spans="1:9" ht="16.5">
      <c r="A11" s="90" t="s">
        <v>1124</v>
      </c>
      <c r="B11" s="91">
        <v>43257</v>
      </c>
      <c r="C11" s="64" t="str">
        <f t="shared" si="0"/>
        <v>(수)</v>
      </c>
      <c r="D11" s="68"/>
      <c r="E11" s="69"/>
      <c r="F11" s="64" t="str">
        <f t="shared" si="1"/>
        <v/>
      </c>
      <c r="G11" s="68"/>
      <c r="H11" s="69"/>
      <c r="I11" s="64" t="str">
        <f t="shared" si="2"/>
        <v/>
      </c>
    </row>
    <row r="12" spans="1:9" ht="16.5">
      <c r="A12" s="90" t="s">
        <v>1125</v>
      </c>
      <c r="B12" s="91">
        <v>43327</v>
      </c>
      <c r="C12" s="64" t="str">
        <f t="shared" si="0"/>
        <v>(수)</v>
      </c>
      <c r="D12" s="68"/>
      <c r="E12" s="69"/>
      <c r="F12" s="64" t="str">
        <f t="shared" si="1"/>
        <v/>
      </c>
      <c r="G12" s="68"/>
      <c r="H12" s="69"/>
      <c r="I12" s="64" t="str">
        <f t="shared" si="2"/>
        <v/>
      </c>
    </row>
    <row r="13" spans="1:9" ht="16.5">
      <c r="A13" s="90" t="s">
        <v>1126</v>
      </c>
      <c r="B13" s="91">
        <v>43367</v>
      </c>
      <c r="C13" s="64" t="str">
        <f t="shared" si="0"/>
        <v>(월)</v>
      </c>
      <c r="D13" s="68"/>
      <c r="E13" s="69"/>
      <c r="F13" s="64" t="str">
        <f t="shared" si="1"/>
        <v/>
      </c>
      <c r="G13" s="68"/>
      <c r="H13" s="69"/>
      <c r="I13" s="64" t="str">
        <f t="shared" si="2"/>
        <v/>
      </c>
    </row>
    <row r="14" spans="1:9" ht="16.5">
      <c r="A14" s="90" t="s">
        <v>1127</v>
      </c>
      <c r="B14" s="91">
        <v>43368</v>
      </c>
      <c r="C14" s="64" t="str">
        <f t="shared" si="0"/>
        <v>(화)</v>
      </c>
      <c r="D14" s="68"/>
      <c r="E14" s="69"/>
      <c r="F14" s="64" t="str">
        <f t="shared" si="1"/>
        <v/>
      </c>
      <c r="G14" s="68"/>
      <c r="H14" s="69"/>
      <c r="I14" s="64" t="str">
        <f t="shared" si="2"/>
        <v/>
      </c>
    </row>
    <row r="15" spans="1:9" ht="16.5">
      <c r="A15" s="90" t="s">
        <v>1128</v>
      </c>
      <c r="B15" s="91">
        <v>43369</v>
      </c>
      <c r="C15" s="64" t="str">
        <f t="shared" si="0"/>
        <v>(수)</v>
      </c>
      <c r="D15" s="68"/>
      <c r="E15" s="69"/>
      <c r="F15" s="64" t="str">
        <f t="shared" si="1"/>
        <v/>
      </c>
      <c r="G15" s="68"/>
      <c r="H15" s="69"/>
      <c r="I15" s="64" t="str">
        <f t="shared" si="2"/>
        <v/>
      </c>
    </row>
    <row r="16" spans="1:9" ht="16.5">
      <c r="A16" s="90" t="s">
        <v>1129</v>
      </c>
      <c r="B16" s="91">
        <v>43376</v>
      </c>
      <c r="C16" s="64" t="str">
        <f t="shared" si="0"/>
        <v>(수)</v>
      </c>
      <c r="D16" s="68"/>
      <c r="E16" s="69"/>
      <c r="F16" s="64" t="str">
        <f t="shared" si="1"/>
        <v/>
      </c>
      <c r="G16" s="68"/>
      <c r="H16" s="69"/>
      <c r="I16" s="64" t="str">
        <f t="shared" si="2"/>
        <v/>
      </c>
    </row>
    <row r="17" spans="1:10" ht="16.5">
      <c r="A17" s="90" t="s">
        <v>1130</v>
      </c>
      <c r="B17" s="91">
        <v>43382</v>
      </c>
      <c r="C17" s="64" t="str">
        <f t="shared" si="0"/>
        <v>(화)</v>
      </c>
      <c r="D17" s="68"/>
      <c r="E17" s="69"/>
      <c r="F17" s="64" t="str">
        <f t="shared" si="1"/>
        <v/>
      </c>
      <c r="G17" s="68"/>
      <c r="H17" s="69"/>
      <c r="I17" s="64" t="str">
        <f t="shared" si="2"/>
        <v/>
      </c>
    </row>
    <row r="18" spans="1:10" ht="16.5">
      <c r="A18" s="90" t="s">
        <v>1131</v>
      </c>
      <c r="B18" s="91">
        <v>43459</v>
      </c>
      <c r="C18" s="64" t="str">
        <f t="shared" si="0"/>
        <v>(화)</v>
      </c>
      <c r="D18" s="68"/>
      <c r="E18" s="69"/>
      <c r="F18" s="64" t="str">
        <f t="shared" si="1"/>
        <v/>
      </c>
      <c r="G18" s="68"/>
      <c r="H18" s="69"/>
      <c r="I18" s="64" t="str">
        <f t="shared" si="2"/>
        <v/>
      </c>
    </row>
    <row r="19" spans="1:10" ht="16.5">
      <c r="A19" s="90" t="s">
        <v>1132</v>
      </c>
      <c r="B19" s="91">
        <v>43466</v>
      </c>
      <c r="C19" s="64" t="str">
        <f t="shared" si="0"/>
        <v>(화)</v>
      </c>
      <c r="D19" s="68"/>
      <c r="E19" s="69"/>
      <c r="F19" s="64" t="str">
        <f t="shared" si="1"/>
        <v/>
      </c>
      <c r="G19" s="68"/>
      <c r="H19" s="69"/>
      <c r="I19" s="64" t="str">
        <f t="shared" si="2"/>
        <v/>
      </c>
      <c r="J19" s="70"/>
    </row>
    <row r="20" spans="1:10" ht="16.5">
      <c r="A20" s="90" t="s">
        <v>1133</v>
      </c>
      <c r="B20" s="91">
        <v>43500</v>
      </c>
      <c r="C20" s="64" t="str">
        <f t="shared" si="0"/>
        <v>(월)</v>
      </c>
      <c r="D20" s="68"/>
      <c r="E20" s="69"/>
      <c r="F20" s="64" t="str">
        <f t="shared" si="1"/>
        <v/>
      </c>
      <c r="G20" s="68"/>
      <c r="H20" s="69"/>
      <c r="I20" s="64" t="str">
        <f t="shared" si="2"/>
        <v/>
      </c>
      <c r="J20" s="70"/>
    </row>
    <row r="21" spans="1:10" ht="16.5">
      <c r="A21" s="90" t="s">
        <v>1134</v>
      </c>
      <c r="B21" s="91">
        <v>43501</v>
      </c>
      <c r="C21" s="64" t="str">
        <f t="shared" si="0"/>
        <v>(화)</v>
      </c>
      <c r="D21" s="68"/>
      <c r="E21" s="69"/>
      <c r="F21" s="64" t="str">
        <f t="shared" si="1"/>
        <v/>
      </c>
      <c r="G21" s="68"/>
      <c r="H21" s="69"/>
      <c r="I21" s="64" t="str">
        <f t="shared" si="2"/>
        <v/>
      </c>
    </row>
    <row r="22" spans="1:10" ht="16.5">
      <c r="A22" s="90" t="s">
        <v>1133</v>
      </c>
      <c r="B22" s="91">
        <v>43502</v>
      </c>
      <c r="C22" s="64" t="str">
        <f t="shared" si="0"/>
        <v>(수)</v>
      </c>
      <c r="D22" s="68"/>
      <c r="E22" s="69"/>
      <c r="F22" s="64" t="str">
        <f t="shared" si="1"/>
        <v/>
      </c>
      <c r="G22" s="68"/>
      <c r="H22" s="69"/>
      <c r="I22" s="64" t="str">
        <f t="shared" si="2"/>
        <v/>
      </c>
    </row>
    <row r="23" spans="1:10" ht="16.5">
      <c r="A23" s="90" t="s">
        <v>1135</v>
      </c>
      <c r="B23" s="91">
        <v>43525</v>
      </c>
      <c r="C23" s="64" t="str">
        <f t="shared" si="0"/>
        <v>(금)</v>
      </c>
      <c r="D23" s="68"/>
      <c r="E23" s="69"/>
      <c r="F23" s="64" t="str">
        <f t="shared" si="1"/>
        <v/>
      </c>
      <c r="G23" s="68"/>
      <c r="H23" s="69"/>
      <c r="I23" s="64" t="str">
        <f t="shared" si="2"/>
        <v/>
      </c>
    </row>
    <row r="24" spans="1:10" ht="16.5">
      <c r="A24" s="90" t="s">
        <v>1136</v>
      </c>
      <c r="B24" s="91">
        <v>43591</v>
      </c>
      <c r="C24" s="64" t="str">
        <f t="shared" si="0"/>
        <v>(월)</v>
      </c>
      <c r="D24" s="68"/>
      <c r="E24" s="69"/>
      <c r="F24" s="64" t="str">
        <f t="shared" si="1"/>
        <v/>
      </c>
      <c r="G24" s="68"/>
      <c r="H24" s="69"/>
      <c r="I24" s="64" t="str">
        <f t="shared" si="2"/>
        <v/>
      </c>
    </row>
    <row r="25" spans="1:10" ht="16.5">
      <c r="A25" s="90" t="s">
        <v>1137</v>
      </c>
      <c r="B25" s="91">
        <v>43622</v>
      </c>
      <c r="C25" s="64" t="str">
        <f t="shared" si="0"/>
        <v>(목)</v>
      </c>
      <c r="D25" s="68"/>
      <c r="E25" s="69"/>
      <c r="F25" s="64" t="str">
        <f t="shared" si="1"/>
        <v/>
      </c>
      <c r="G25" s="68"/>
      <c r="H25" s="69"/>
      <c r="I25" s="64" t="str">
        <f t="shared" si="2"/>
        <v/>
      </c>
    </row>
    <row r="26" spans="1:10" ht="16.5">
      <c r="A26" s="90" t="s">
        <v>1138</v>
      </c>
      <c r="B26" s="91">
        <v>43692</v>
      </c>
      <c r="C26" s="64" t="str">
        <f t="shared" si="0"/>
        <v>(목)</v>
      </c>
      <c r="D26" s="68"/>
      <c r="E26" s="69"/>
      <c r="F26" s="64" t="str">
        <f t="shared" si="1"/>
        <v/>
      </c>
      <c r="G26" s="68"/>
      <c r="H26" s="69"/>
      <c r="I26" s="64" t="str">
        <f t="shared" si="2"/>
        <v/>
      </c>
    </row>
    <row r="27" spans="1:10" ht="16.5">
      <c r="A27" s="90" t="s">
        <v>1139</v>
      </c>
      <c r="B27" s="91">
        <v>43720</v>
      </c>
      <c r="C27" s="64" t="str">
        <f t="shared" si="0"/>
        <v>(목)</v>
      </c>
      <c r="D27" s="68"/>
      <c r="E27" s="69"/>
      <c r="F27" s="64" t="str">
        <f t="shared" si="1"/>
        <v/>
      </c>
      <c r="G27" s="68"/>
      <c r="H27" s="69"/>
      <c r="I27" s="64" t="str">
        <f t="shared" si="2"/>
        <v/>
      </c>
    </row>
    <row r="28" spans="1:10" ht="16.5">
      <c r="A28" s="90" t="s">
        <v>1140</v>
      </c>
      <c r="B28" s="91">
        <v>43721</v>
      </c>
      <c r="C28" s="64" t="str">
        <f t="shared" si="0"/>
        <v>(금)</v>
      </c>
      <c r="D28" s="68"/>
      <c r="E28" s="69"/>
      <c r="F28" s="64" t="str">
        <f t="shared" si="1"/>
        <v/>
      </c>
      <c r="G28" s="68"/>
      <c r="H28" s="69"/>
      <c r="I28" s="64" t="str">
        <f t="shared" si="2"/>
        <v/>
      </c>
    </row>
    <row r="29" spans="1:10" ht="16.5">
      <c r="A29" s="90" t="s">
        <v>1141</v>
      </c>
      <c r="B29" s="91">
        <v>43741</v>
      </c>
      <c r="C29" s="64" t="str">
        <f t="shared" si="0"/>
        <v>(목)</v>
      </c>
      <c r="D29" s="68"/>
      <c r="E29" s="69"/>
      <c r="F29" s="64" t="str">
        <f t="shared" si="1"/>
        <v/>
      </c>
      <c r="G29" s="68"/>
      <c r="H29" s="69"/>
      <c r="I29" s="64" t="str">
        <f t="shared" si="2"/>
        <v/>
      </c>
    </row>
    <row r="30" spans="1:10" ht="16.5">
      <c r="A30" s="90" t="s">
        <v>1142</v>
      </c>
      <c r="B30" s="91">
        <v>43747</v>
      </c>
      <c r="C30" s="64" t="str">
        <f t="shared" si="0"/>
        <v>(수)</v>
      </c>
      <c r="D30" s="68"/>
      <c r="E30" s="69"/>
      <c r="F30" s="64" t="str">
        <f t="shared" si="1"/>
        <v/>
      </c>
      <c r="G30" s="68"/>
      <c r="H30" s="69"/>
      <c r="I30" s="64" t="str">
        <f t="shared" si="2"/>
        <v/>
      </c>
    </row>
    <row r="31" spans="1:10" ht="16.5">
      <c r="A31" s="90" t="s">
        <v>1143</v>
      </c>
      <c r="B31" s="91">
        <v>43824</v>
      </c>
      <c r="C31" s="64" t="str">
        <f t="shared" si="0"/>
        <v>(수)</v>
      </c>
      <c r="D31" s="68"/>
      <c r="E31" s="69"/>
      <c r="F31" s="64" t="str">
        <f t="shared" si="1"/>
        <v/>
      </c>
      <c r="G31" s="68"/>
      <c r="H31" s="69"/>
      <c r="I31" s="64" t="str">
        <f t="shared" si="2"/>
        <v/>
      </c>
    </row>
    <row r="32" spans="1:10">
      <c r="A32" s="90"/>
      <c r="B32" s="91"/>
      <c r="C32" s="64" t="str">
        <f t="shared" si="0"/>
        <v/>
      </c>
      <c r="D32" s="68"/>
      <c r="E32" s="69"/>
      <c r="F32" s="64" t="str">
        <f t="shared" si="1"/>
        <v/>
      </c>
      <c r="G32" s="68"/>
      <c r="H32" s="69"/>
      <c r="I32" s="64" t="str">
        <f t="shared" si="2"/>
        <v/>
      </c>
    </row>
    <row r="33" spans="1:9">
      <c r="A33" s="90"/>
      <c r="B33" s="91"/>
      <c r="C33" s="64" t="str">
        <f t="shared" si="0"/>
        <v/>
      </c>
      <c r="D33" s="68"/>
      <c r="E33" s="69"/>
      <c r="F33" s="64" t="str">
        <f t="shared" si="1"/>
        <v/>
      </c>
      <c r="G33" s="68"/>
      <c r="H33" s="69"/>
      <c r="I33" s="64" t="str">
        <f t="shared" si="2"/>
        <v/>
      </c>
    </row>
    <row r="34" spans="1:9">
      <c r="A34" s="90"/>
      <c r="B34" s="91"/>
      <c r="C34" s="64" t="str">
        <f t="shared" si="0"/>
        <v/>
      </c>
      <c r="D34" s="68"/>
      <c r="E34" s="69"/>
      <c r="F34" s="64" t="str">
        <f t="shared" si="1"/>
        <v/>
      </c>
      <c r="G34" s="68"/>
      <c r="H34" s="69"/>
      <c r="I34" s="64" t="str">
        <f t="shared" si="2"/>
        <v/>
      </c>
    </row>
    <row r="35" spans="1:9">
      <c r="A35" s="90"/>
      <c r="B35" s="91"/>
      <c r="C35" s="64" t="str">
        <f t="shared" si="0"/>
        <v/>
      </c>
      <c r="D35" s="68"/>
      <c r="E35" s="69"/>
      <c r="F35" s="64" t="str">
        <f t="shared" si="1"/>
        <v/>
      </c>
      <c r="G35" s="68"/>
      <c r="H35" s="69"/>
      <c r="I35" s="64" t="str">
        <f t="shared" si="2"/>
        <v/>
      </c>
    </row>
    <row r="36" spans="1:9">
      <c r="A36" s="90"/>
      <c r="B36" s="91"/>
      <c r="C36" s="64" t="str">
        <f t="shared" si="0"/>
        <v/>
      </c>
      <c r="D36" s="68"/>
      <c r="E36" s="69"/>
      <c r="F36" s="64" t="str">
        <f t="shared" si="1"/>
        <v/>
      </c>
      <c r="G36" s="68"/>
      <c r="H36" s="69"/>
      <c r="I36" s="64" t="str">
        <f t="shared" si="2"/>
        <v/>
      </c>
    </row>
    <row r="37" spans="1:9">
      <c r="A37" s="90"/>
      <c r="B37" s="91"/>
      <c r="C37" s="64" t="str">
        <f t="shared" si="0"/>
        <v/>
      </c>
      <c r="D37" s="68"/>
      <c r="E37" s="69"/>
      <c r="F37" s="64" t="str">
        <f t="shared" si="1"/>
        <v/>
      </c>
      <c r="G37" s="68"/>
      <c r="H37" s="69"/>
      <c r="I37" s="64" t="str">
        <f t="shared" si="2"/>
        <v/>
      </c>
    </row>
    <row r="38" spans="1:9">
      <c r="A38" s="90"/>
      <c r="B38" s="91"/>
      <c r="C38" s="64" t="str">
        <f t="shared" si="0"/>
        <v/>
      </c>
      <c r="D38" s="68"/>
      <c r="E38" s="69"/>
      <c r="F38" s="64" t="str">
        <f t="shared" si="1"/>
        <v/>
      </c>
      <c r="G38" s="68"/>
      <c r="H38" s="69"/>
      <c r="I38" s="64" t="str">
        <f t="shared" si="2"/>
        <v/>
      </c>
    </row>
    <row r="39" spans="1:9">
      <c r="A39" s="90"/>
      <c r="B39" s="91"/>
      <c r="C39" s="64" t="str">
        <f t="shared" si="0"/>
        <v/>
      </c>
      <c r="D39" s="68"/>
      <c r="E39" s="69"/>
      <c r="F39" s="64" t="str">
        <f t="shared" si="1"/>
        <v/>
      </c>
      <c r="G39" s="68"/>
      <c r="H39" s="69"/>
      <c r="I39" s="64" t="str">
        <f t="shared" si="2"/>
        <v/>
      </c>
    </row>
    <row r="40" spans="1:9">
      <c r="A40" s="90"/>
      <c r="B40" s="91"/>
      <c r="C40" s="64" t="str">
        <f t="shared" si="0"/>
        <v/>
      </c>
      <c r="D40" s="68"/>
      <c r="E40" s="69"/>
      <c r="F40" s="64" t="str">
        <f t="shared" si="1"/>
        <v/>
      </c>
      <c r="G40" s="68"/>
      <c r="H40" s="69"/>
      <c r="I40" s="64" t="str">
        <f t="shared" si="2"/>
        <v/>
      </c>
    </row>
    <row r="41" spans="1:9">
      <c r="A41" s="90"/>
      <c r="B41" s="91"/>
      <c r="C41" s="64" t="str">
        <f t="shared" si="0"/>
        <v/>
      </c>
      <c r="D41" s="68"/>
      <c r="E41" s="69"/>
      <c r="F41" s="64" t="str">
        <f t="shared" si="1"/>
        <v/>
      </c>
      <c r="G41" s="68"/>
      <c r="H41" s="69"/>
      <c r="I41" s="64" t="str">
        <f t="shared" si="2"/>
        <v/>
      </c>
    </row>
    <row r="42" spans="1:9">
      <c r="A42" s="90"/>
      <c r="B42" s="91"/>
      <c r="C42" s="64" t="str">
        <f t="shared" si="0"/>
        <v/>
      </c>
      <c r="D42" s="68"/>
      <c r="E42" s="69"/>
      <c r="F42" s="64" t="str">
        <f t="shared" si="1"/>
        <v/>
      </c>
      <c r="G42" s="68"/>
      <c r="H42" s="69"/>
      <c r="I42" s="64" t="str">
        <f t="shared" si="2"/>
        <v/>
      </c>
    </row>
    <row r="43" spans="1:9">
      <c r="A43" s="90"/>
      <c r="B43" s="91"/>
      <c r="C43" s="64" t="str">
        <f t="shared" si="0"/>
        <v/>
      </c>
      <c r="D43" s="68"/>
      <c r="E43" s="69"/>
      <c r="F43" s="64" t="str">
        <f t="shared" si="1"/>
        <v/>
      </c>
      <c r="G43" s="68"/>
      <c r="H43" s="69"/>
      <c r="I43" s="64" t="str">
        <f t="shared" si="2"/>
        <v/>
      </c>
    </row>
    <row r="44" spans="1:9">
      <c r="A44" s="90"/>
      <c r="B44" s="91"/>
      <c r="C44" s="64" t="str">
        <f t="shared" si="0"/>
        <v/>
      </c>
      <c r="D44" s="68"/>
      <c r="E44" s="69"/>
      <c r="F44" s="64" t="str">
        <f t="shared" si="1"/>
        <v/>
      </c>
      <c r="G44" s="68"/>
      <c r="H44" s="69"/>
      <c r="I44" s="64" t="str">
        <f t="shared" si="2"/>
        <v/>
      </c>
    </row>
    <row r="45" spans="1:9">
      <c r="A45" s="90"/>
      <c r="B45" s="91"/>
      <c r="C45" s="64" t="str">
        <f t="shared" si="0"/>
        <v/>
      </c>
      <c r="D45" s="68"/>
      <c r="E45" s="69"/>
      <c r="F45" s="64" t="str">
        <f t="shared" si="1"/>
        <v/>
      </c>
      <c r="G45" s="68"/>
      <c r="H45" s="69"/>
      <c r="I45" s="64" t="str">
        <f t="shared" si="2"/>
        <v/>
      </c>
    </row>
    <row r="46" spans="1:9">
      <c r="A46" s="90"/>
      <c r="B46" s="91"/>
      <c r="C46" s="64" t="str">
        <f t="shared" si="0"/>
        <v/>
      </c>
      <c r="D46" s="68"/>
      <c r="E46" s="69"/>
      <c r="F46" s="64" t="str">
        <f t="shared" si="1"/>
        <v/>
      </c>
      <c r="G46" s="68"/>
      <c r="H46" s="69"/>
      <c r="I46" s="64" t="str">
        <f t="shared" si="2"/>
        <v/>
      </c>
    </row>
    <row r="47" spans="1:9">
      <c r="A47" s="90"/>
      <c r="B47" s="91"/>
      <c r="C47" s="64" t="str">
        <f t="shared" si="0"/>
        <v/>
      </c>
      <c r="D47" s="68"/>
      <c r="E47" s="69"/>
      <c r="F47" s="64" t="str">
        <f t="shared" si="1"/>
        <v/>
      </c>
      <c r="G47" s="68"/>
      <c r="H47" s="69"/>
      <c r="I47" s="64" t="str">
        <f t="shared" si="2"/>
        <v/>
      </c>
    </row>
    <row r="48" spans="1:9">
      <c r="A48" s="90"/>
      <c r="B48" s="91"/>
      <c r="C48" s="64" t="str">
        <f t="shared" si="0"/>
        <v/>
      </c>
      <c r="D48" s="68"/>
      <c r="E48" s="69"/>
      <c r="F48" s="64" t="str">
        <f t="shared" si="1"/>
        <v/>
      </c>
      <c r="G48" s="68"/>
      <c r="H48" s="69"/>
      <c r="I48" s="64" t="str">
        <f t="shared" si="2"/>
        <v/>
      </c>
    </row>
    <row r="49" spans="1:9">
      <c r="A49" s="90"/>
      <c r="B49" s="91"/>
      <c r="C49" s="64" t="str">
        <f t="shared" si="0"/>
        <v/>
      </c>
      <c r="D49" s="68"/>
      <c r="E49" s="69"/>
      <c r="F49" s="64" t="str">
        <f t="shared" si="1"/>
        <v/>
      </c>
      <c r="G49" s="68"/>
      <c r="H49" s="69"/>
      <c r="I49" s="64" t="str">
        <f t="shared" si="2"/>
        <v/>
      </c>
    </row>
    <row r="50" spans="1:9">
      <c r="A50" s="90"/>
      <c r="B50" s="91"/>
      <c r="C50" s="64" t="str">
        <f t="shared" si="0"/>
        <v/>
      </c>
      <c r="D50" s="68"/>
      <c r="E50" s="69"/>
      <c r="F50" s="64" t="str">
        <f t="shared" si="1"/>
        <v/>
      </c>
      <c r="G50" s="68"/>
      <c r="H50" s="69"/>
      <c r="I50" s="64" t="str">
        <f t="shared" si="2"/>
        <v/>
      </c>
    </row>
    <row r="51" spans="1:9">
      <c r="A51" s="90"/>
      <c r="B51" s="91"/>
      <c r="C51" s="64" t="str">
        <f t="shared" si="0"/>
        <v/>
      </c>
      <c r="D51" s="68"/>
      <c r="E51" s="69"/>
      <c r="F51" s="64" t="str">
        <f t="shared" si="1"/>
        <v/>
      </c>
      <c r="G51" s="68"/>
      <c r="H51" s="69"/>
      <c r="I51" s="64" t="str">
        <f t="shared" si="2"/>
        <v/>
      </c>
    </row>
    <row r="52" spans="1:9">
      <c r="A52" s="90"/>
      <c r="B52" s="91"/>
      <c r="C52" s="64" t="str">
        <f t="shared" si="0"/>
        <v/>
      </c>
      <c r="D52" s="68"/>
      <c r="E52" s="69"/>
      <c r="F52" s="64" t="str">
        <f t="shared" si="1"/>
        <v/>
      </c>
      <c r="G52" s="68"/>
      <c r="H52" s="69"/>
      <c r="I52" s="64" t="str">
        <f t="shared" si="2"/>
        <v/>
      </c>
    </row>
    <row r="53" spans="1:9">
      <c r="A53" s="90"/>
      <c r="B53" s="91"/>
      <c r="C53" s="64" t="str">
        <f t="shared" si="0"/>
        <v/>
      </c>
      <c r="D53" s="68"/>
      <c r="E53" s="69"/>
      <c r="F53" s="64" t="str">
        <f t="shared" si="1"/>
        <v/>
      </c>
      <c r="G53" s="68"/>
      <c r="H53" s="69"/>
      <c r="I53" s="64" t="str">
        <f t="shared" si="2"/>
        <v/>
      </c>
    </row>
    <row r="54" spans="1:9">
      <c r="A54" s="90"/>
      <c r="B54" s="91"/>
      <c r="C54" s="64" t="str">
        <f t="shared" si="0"/>
        <v/>
      </c>
      <c r="D54" s="68"/>
      <c r="E54" s="69"/>
      <c r="F54" s="64" t="str">
        <f t="shared" si="1"/>
        <v/>
      </c>
      <c r="G54" s="68"/>
      <c r="H54" s="69"/>
      <c r="I54" s="64" t="str">
        <f t="shared" si="2"/>
        <v/>
      </c>
    </row>
    <row r="55" spans="1:9">
      <c r="A55" s="90"/>
      <c r="B55" s="91"/>
      <c r="C55" s="64" t="str">
        <f t="shared" si="0"/>
        <v/>
      </c>
      <c r="D55" s="68"/>
      <c r="E55" s="69"/>
      <c r="F55" s="64" t="str">
        <f t="shared" si="1"/>
        <v/>
      </c>
      <c r="G55" s="68"/>
      <c r="H55" s="69"/>
      <c r="I55" s="64" t="str">
        <f t="shared" si="2"/>
        <v/>
      </c>
    </row>
    <row r="56" spans="1:9">
      <c r="A56" s="90"/>
      <c r="B56" s="91"/>
      <c r="C56" s="64" t="str">
        <f t="shared" si="0"/>
        <v/>
      </c>
      <c r="D56" s="68"/>
      <c r="E56" s="69"/>
      <c r="F56" s="64" t="str">
        <f t="shared" si="1"/>
        <v/>
      </c>
      <c r="G56" s="68"/>
      <c r="H56" s="69"/>
      <c r="I56" s="64" t="str">
        <f t="shared" si="2"/>
        <v/>
      </c>
    </row>
    <row r="57" spans="1:9">
      <c r="A57" s="90"/>
      <c r="B57" s="91"/>
      <c r="C57" s="64" t="str">
        <f t="shared" si="0"/>
        <v/>
      </c>
      <c r="D57" s="68"/>
      <c r="E57" s="69"/>
      <c r="F57" s="64" t="str">
        <f t="shared" si="1"/>
        <v/>
      </c>
      <c r="G57" s="68"/>
      <c r="H57" s="69"/>
      <c r="I57" s="64" t="str">
        <f t="shared" si="2"/>
        <v/>
      </c>
    </row>
    <row r="58" spans="1:9">
      <c r="A58" s="90"/>
      <c r="B58" s="91"/>
      <c r="C58" s="64" t="str">
        <f t="shared" si="0"/>
        <v/>
      </c>
      <c r="D58" s="68"/>
      <c r="E58" s="69"/>
      <c r="F58" s="64" t="str">
        <f t="shared" si="1"/>
        <v/>
      </c>
      <c r="G58" s="68"/>
      <c r="H58" s="69"/>
      <c r="I58" s="64" t="str">
        <f t="shared" si="2"/>
        <v/>
      </c>
    </row>
    <row r="59" spans="1:9">
      <c r="A59" s="90"/>
      <c r="B59" s="91"/>
      <c r="C59" s="64" t="str">
        <f t="shared" si="0"/>
        <v/>
      </c>
      <c r="D59" s="68"/>
      <c r="E59" s="69"/>
      <c r="F59" s="64" t="str">
        <f t="shared" si="1"/>
        <v/>
      </c>
      <c r="G59" s="68"/>
      <c r="H59" s="69"/>
      <c r="I59" s="64" t="str">
        <f t="shared" si="2"/>
        <v/>
      </c>
    </row>
    <row r="60" spans="1:9">
      <c r="A60" s="90"/>
      <c r="B60" s="91"/>
      <c r="C60" s="64" t="str">
        <f t="shared" si="0"/>
        <v/>
      </c>
      <c r="D60" s="68"/>
      <c r="E60" s="69"/>
      <c r="F60" s="64" t="str">
        <f t="shared" si="1"/>
        <v/>
      </c>
      <c r="G60" s="68"/>
      <c r="H60" s="69"/>
      <c r="I60" s="64" t="str">
        <f t="shared" si="2"/>
        <v/>
      </c>
    </row>
    <row r="61" spans="1:9">
      <c r="A61" s="90"/>
      <c r="B61" s="91"/>
      <c r="C61" s="64" t="str">
        <f t="shared" si="0"/>
        <v/>
      </c>
      <c r="D61" s="68"/>
      <c r="E61" s="69"/>
      <c r="F61" s="64" t="str">
        <f t="shared" si="1"/>
        <v/>
      </c>
      <c r="G61" s="68"/>
      <c r="H61" s="69"/>
      <c r="I61" s="64" t="str">
        <f t="shared" si="2"/>
        <v/>
      </c>
    </row>
    <row r="62" spans="1:9">
      <c r="A62" s="90"/>
      <c r="B62" s="91"/>
      <c r="C62" s="64" t="str">
        <f t="shared" si="0"/>
        <v/>
      </c>
      <c r="D62" s="68"/>
      <c r="E62" s="69"/>
      <c r="F62" s="64" t="str">
        <f t="shared" si="1"/>
        <v/>
      </c>
      <c r="G62" s="68"/>
      <c r="H62" s="69"/>
      <c r="I62" s="64" t="str">
        <f t="shared" si="2"/>
        <v/>
      </c>
    </row>
    <row r="63" spans="1:9">
      <c r="A63" s="90"/>
      <c r="B63" s="91"/>
      <c r="C63" s="64" t="str">
        <f t="shared" si="0"/>
        <v/>
      </c>
      <c r="D63" s="68"/>
      <c r="E63" s="69"/>
      <c r="F63" s="64" t="str">
        <f t="shared" si="1"/>
        <v/>
      </c>
      <c r="G63" s="68"/>
      <c r="H63" s="69"/>
      <c r="I63" s="64" t="str">
        <f t="shared" si="2"/>
        <v/>
      </c>
    </row>
    <row r="64" spans="1:9">
      <c r="A64" s="90"/>
      <c r="B64" s="91"/>
      <c r="C64" s="64" t="str">
        <f t="shared" si="0"/>
        <v/>
      </c>
      <c r="D64" s="68"/>
      <c r="E64" s="69"/>
      <c r="F64" s="64" t="str">
        <f t="shared" si="1"/>
        <v/>
      </c>
      <c r="G64" s="68"/>
      <c r="H64" s="69"/>
      <c r="I64" s="64" t="str">
        <f t="shared" si="2"/>
        <v/>
      </c>
    </row>
    <row r="65" spans="1:9">
      <c r="A65" s="90"/>
      <c r="B65" s="91"/>
      <c r="C65" s="64" t="str">
        <f t="shared" si="0"/>
        <v/>
      </c>
      <c r="D65" s="68"/>
      <c r="E65" s="69"/>
      <c r="F65" s="64" t="str">
        <f t="shared" si="1"/>
        <v/>
      </c>
      <c r="G65" s="68"/>
      <c r="H65" s="69"/>
      <c r="I65" s="64" t="str">
        <f t="shared" si="2"/>
        <v/>
      </c>
    </row>
    <row r="66" spans="1:9">
      <c r="A66" s="90"/>
      <c r="B66" s="91"/>
      <c r="C66" s="64" t="str">
        <f t="shared" si="0"/>
        <v/>
      </c>
      <c r="D66" s="68"/>
      <c r="E66" s="69"/>
      <c r="F66" s="64" t="str">
        <f t="shared" si="1"/>
        <v/>
      </c>
      <c r="G66" s="68"/>
      <c r="H66" s="69"/>
      <c r="I66" s="64" t="str">
        <f t="shared" si="2"/>
        <v/>
      </c>
    </row>
    <row r="67" spans="1:9">
      <c r="A67" s="90"/>
      <c r="B67" s="91"/>
      <c r="C67" s="64" t="str">
        <f t="shared" si="0"/>
        <v/>
      </c>
      <c r="D67" s="68"/>
      <c r="E67" s="69"/>
      <c r="F67" s="64" t="str">
        <f t="shared" si="1"/>
        <v/>
      </c>
      <c r="G67" s="68"/>
      <c r="H67" s="69"/>
      <c r="I67" s="64" t="str">
        <f t="shared" si="2"/>
        <v/>
      </c>
    </row>
    <row r="68" spans="1:9">
      <c r="A68" s="90"/>
      <c r="B68" s="91"/>
      <c r="C68" s="64" t="str">
        <f t="shared" si="0"/>
        <v/>
      </c>
      <c r="D68" s="68"/>
      <c r="E68" s="69"/>
      <c r="F68" s="64" t="str">
        <f t="shared" si="1"/>
        <v/>
      </c>
      <c r="G68" s="68"/>
      <c r="H68" s="69"/>
      <c r="I68" s="64" t="str">
        <f t="shared" si="2"/>
        <v/>
      </c>
    </row>
    <row r="69" spans="1:9">
      <c r="A69" s="90"/>
      <c r="B69" s="91"/>
      <c r="C69" s="64" t="str">
        <f t="shared" ref="C69:C132" si="3">IF(B69&gt;0,TEXT(B69,"(aaa)"),"")</f>
        <v/>
      </c>
      <c r="D69" s="68"/>
      <c r="E69" s="69"/>
      <c r="F69" s="64" t="str">
        <f t="shared" ref="F69:F132" si="4">IF(E69&gt;0,TEXT(E69,"(aaa)"),"")</f>
        <v/>
      </c>
      <c r="G69" s="68"/>
      <c r="H69" s="69"/>
      <c r="I69" s="64" t="str">
        <f t="shared" ref="I69:I132" si="5">IF(H69&gt;0,TEXT(H69,"(aaa)"),"")</f>
        <v/>
      </c>
    </row>
    <row r="70" spans="1:9">
      <c r="A70" s="90"/>
      <c r="B70" s="91"/>
      <c r="C70" s="64" t="str">
        <f t="shared" si="3"/>
        <v/>
      </c>
      <c r="D70" s="68"/>
      <c r="E70" s="69"/>
      <c r="F70" s="64" t="str">
        <f t="shared" si="4"/>
        <v/>
      </c>
      <c r="G70" s="68"/>
      <c r="H70" s="69"/>
      <c r="I70" s="64" t="str">
        <f t="shared" si="5"/>
        <v/>
      </c>
    </row>
    <row r="71" spans="1:9">
      <c r="A71" s="90"/>
      <c r="B71" s="91"/>
      <c r="C71" s="64" t="str">
        <f t="shared" si="3"/>
        <v/>
      </c>
      <c r="D71" s="68"/>
      <c r="E71" s="69"/>
      <c r="F71" s="64" t="str">
        <f t="shared" si="4"/>
        <v/>
      </c>
      <c r="G71" s="68"/>
      <c r="H71" s="69"/>
      <c r="I71" s="64" t="str">
        <f t="shared" si="5"/>
        <v/>
      </c>
    </row>
    <row r="72" spans="1:9">
      <c r="A72" s="90"/>
      <c r="B72" s="91"/>
      <c r="C72" s="64" t="str">
        <f t="shared" si="3"/>
        <v/>
      </c>
      <c r="D72" s="68"/>
      <c r="E72" s="69"/>
      <c r="F72" s="64" t="str">
        <f t="shared" si="4"/>
        <v/>
      </c>
      <c r="G72" s="68"/>
      <c r="H72" s="69"/>
      <c r="I72" s="64" t="str">
        <f t="shared" si="5"/>
        <v/>
      </c>
    </row>
    <row r="73" spans="1:9">
      <c r="A73" s="90"/>
      <c r="B73" s="91"/>
      <c r="C73" s="64" t="str">
        <f t="shared" si="3"/>
        <v/>
      </c>
      <c r="D73" s="68"/>
      <c r="E73" s="69"/>
      <c r="F73" s="64" t="str">
        <f t="shared" si="4"/>
        <v/>
      </c>
      <c r="G73" s="68"/>
      <c r="H73" s="69"/>
      <c r="I73" s="64" t="str">
        <f t="shared" si="5"/>
        <v/>
      </c>
    </row>
    <row r="74" spans="1:9">
      <c r="A74" s="90"/>
      <c r="B74" s="91"/>
      <c r="C74" s="64" t="str">
        <f t="shared" si="3"/>
        <v/>
      </c>
      <c r="D74" s="68"/>
      <c r="E74" s="69"/>
      <c r="F74" s="64" t="str">
        <f t="shared" si="4"/>
        <v/>
      </c>
      <c r="G74" s="68"/>
      <c r="H74" s="69"/>
      <c r="I74" s="64" t="str">
        <f t="shared" si="5"/>
        <v/>
      </c>
    </row>
    <row r="75" spans="1:9">
      <c r="A75" s="90"/>
      <c r="B75" s="91"/>
      <c r="C75" s="64" t="str">
        <f t="shared" si="3"/>
        <v/>
      </c>
      <c r="D75" s="68"/>
      <c r="E75" s="69"/>
      <c r="F75" s="64" t="str">
        <f t="shared" si="4"/>
        <v/>
      </c>
      <c r="G75" s="68"/>
      <c r="H75" s="69"/>
      <c r="I75" s="64" t="str">
        <f t="shared" si="5"/>
        <v/>
      </c>
    </row>
    <row r="76" spans="1:9">
      <c r="A76" s="90"/>
      <c r="B76" s="91"/>
      <c r="C76" s="64" t="str">
        <f t="shared" si="3"/>
        <v/>
      </c>
      <c r="D76" s="68"/>
      <c r="E76" s="69"/>
      <c r="F76" s="64" t="str">
        <f t="shared" si="4"/>
        <v/>
      </c>
      <c r="G76" s="68"/>
      <c r="H76" s="69"/>
      <c r="I76" s="64" t="str">
        <f t="shared" si="5"/>
        <v/>
      </c>
    </row>
    <row r="77" spans="1:9">
      <c r="A77" s="90"/>
      <c r="B77" s="91"/>
      <c r="C77" s="64" t="str">
        <f t="shared" si="3"/>
        <v/>
      </c>
      <c r="D77" s="68"/>
      <c r="E77" s="69"/>
      <c r="F77" s="64" t="str">
        <f t="shared" si="4"/>
        <v/>
      </c>
      <c r="G77" s="68"/>
      <c r="H77" s="69"/>
      <c r="I77" s="64" t="str">
        <f t="shared" si="5"/>
        <v/>
      </c>
    </row>
    <row r="78" spans="1:9">
      <c r="A78" s="90"/>
      <c r="B78" s="91"/>
      <c r="C78" s="64" t="str">
        <f t="shared" si="3"/>
        <v/>
      </c>
      <c r="D78" s="68"/>
      <c r="E78" s="69"/>
      <c r="F78" s="64" t="str">
        <f t="shared" si="4"/>
        <v/>
      </c>
      <c r="G78" s="68"/>
      <c r="H78" s="69"/>
      <c r="I78" s="64" t="str">
        <f t="shared" si="5"/>
        <v/>
      </c>
    </row>
    <row r="79" spans="1:9">
      <c r="A79" s="90"/>
      <c r="B79" s="91"/>
      <c r="C79" s="64" t="str">
        <f t="shared" si="3"/>
        <v/>
      </c>
      <c r="D79" s="68"/>
      <c r="E79" s="69"/>
      <c r="F79" s="64" t="str">
        <f t="shared" si="4"/>
        <v/>
      </c>
      <c r="G79" s="68"/>
      <c r="H79" s="69"/>
      <c r="I79" s="64" t="str">
        <f t="shared" si="5"/>
        <v/>
      </c>
    </row>
    <row r="80" spans="1:9">
      <c r="A80" s="90"/>
      <c r="B80" s="91"/>
      <c r="C80" s="64" t="str">
        <f t="shared" si="3"/>
        <v/>
      </c>
      <c r="D80" s="68"/>
      <c r="E80" s="69"/>
      <c r="F80" s="64" t="str">
        <f t="shared" si="4"/>
        <v/>
      </c>
      <c r="G80" s="68"/>
      <c r="H80" s="69"/>
      <c r="I80" s="64" t="str">
        <f t="shared" si="5"/>
        <v/>
      </c>
    </row>
    <row r="81" spans="1:9">
      <c r="A81" s="90"/>
      <c r="B81" s="91"/>
      <c r="C81" s="64" t="str">
        <f t="shared" si="3"/>
        <v/>
      </c>
      <c r="D81" s="68"/>
      <c r="E81" s="69"/>
      <c r="F81" s="64" t="str">
        <f t="shared" si="4"/>
        <v/>
      </c>
      <c r="G81" s="68"/>
      <c r="H81" s="69"/>
      <c r="I81" s="64" t="str">
        <f t="shared" si="5"/>
        <v/>
      </c>
    </row>
    <row r="82" spans="1:9">
      <c r="A82" s="90"/>
      <c r="B82" s="91"/>
      <c r="C82" s="64" t="str">
        <f t="shared" si="3"/>
        <v/>
      </c>
      <c r="D82" s="68"/>
      <c r="E82" s="69"/>
      <c r="F82" s="64" t="str">
        <f t="shared" si="4"/>
        <v/>
      </c>
      <c r="G82" s="68"/>
      <c r="H82" s="69"/>
      <c r="I82" s="64" t="str">
        <f t="shared" si="5"/>
        <v/>
      </c>
    </row>
    <row r="83" spans="1:9">
      <c r="A83" s="90"/>
      <c r="B83" s="91"/>
      <c r="C83" s="64" t="str">
        <f t="shared" si="3"/>
        <v/>
      </c>
      <c r="D83" s="68"/>
      <c r="E83" s="69"/>
      <c r="F83" s="64" t="str">
        <f t="shared" si="4"/>
        <v/>
      </c>
      <c r="G83" s="68"/>
      <c r="H83" s="69"/>
      <c r="I83" s="64" t="str">
        <f t="shared" si="5"/>
        <v/>
      </c>
    </row>
    <row r="84" spans="1:9">
      <c r="A84" s="90"/>
      <c r="B84" s="91"/>
      <c r="C84" s="64" t="str">
        <f t="shared" si="3"/>
        <v/>
      </c>
      <c r="D84" s="68"/>
      <c r="E84" s="69"/>
      <c r="F84" s="64" t="str">
        <f t="shared" si="4"/>
        <v/>
      </c>
      <c r="G84" s="68"/>
      <c r="H84" s="69"/>
      <c r="I84" s="64" t="str">
        <f t="shared" si="5"/>
        <v/>
      </c>
    </row>
    <row r="85" spans="1:9">
      <c r="A85" s="90"/>
      <c r="B85" s="91"/>
      <c r="C85" s="64" t="str">
        <f t="shared" si="3"/>
        <v/>
      </c>
      <c r="D85" s="68"/>
      <c r="E85" s="69"/>
      <c r="F85" s="64" t="str">
        <f t="shared" si="4"/>
        <v/>
      </c>
      <c r="G85" s="68"/>
      <c r="H85" s="69"/>
      <c r="I85" s="64" t="str">
        <f t="shared" si="5"/>
        <v/>
      </c>
    </row>
    <row r="86" spans="1:9">
      <c r="A86" s="90"/>
      <c r="B86" s="91"/>
      <c r="C86" s="64" t="str">
        <f t="shared" si="3"/>
        <v/>
      </c>
      <c r="D86" s="68"/>
      <c r="E86" s="69"/>
      <c r="F86" s="64" t="str">
        <f t="shared" si="4"/>
        <v/>
      </c>
      <c r="G86" s="68"/>
      <c r="H86" s="69"/>
      <c r="I86" s="64" t="str">
        <f t="shared" si="5"/>
        <v/>
      </c>
    </row>
    <row r="87" spans="1:9">
      <c r="A87" s="90"/>
      <c r="B87" s="91"/>
      <c r="C87" s="64" t="str">
        <f t="shared" si="3"/>
        <v/>
      </c>
      <c r="D87" s="68"/>
      <c r="E87" s="69"/>
      <c r="F87" s="64" t="str">
        <f t="shared" si="4"/>
        <v/>
      </c>
      <c r="G87" s="68"/>
      <c r="H87" s="69"/>
      <c r="I87" s="64" t="str">
        <f t="shared" si="5"/>
        <v/>
      </c>
    </row>
    <row r="88" spans="1:9">
      <c r="A88" s="90"/>
      <c r="B88" s="91"/>
      <c r="C88" s="64" t="str">
        <f t="shared" si="3"/>
        <v/>
      </c>
      <c r="D88" s="68"/>
      <c r="E88" s="69"/>
      <c r="F88" s="64" t="str">
        <f t="shared" si="4"/>
        <v/>
      </c>
      <c r="G88" s="68"/>
      <c r="H88" s="69"/>
      <c r="I88" s="64" t="str">
        <f t="shared" si="5"/>
        <v/>
      </c>
    </row>
    <row r="89" spans="1:9">
      <c r="A89" s="90"/>
      <c r="B89" s="91"/>
      <c r="C89" s="64" t="str">
        <f t="shared" si="3"/>
        <v/>
      </c>
      <c r="D89" s="68"/>
      <c r="E89" s="69"/>
      <c r="F89" s="64" t="str">
        <f t="shared" si="4"/>
        <v/>
      </c>
      <c r="G89" s="68"/>
      <c r="H89" s="69"/>
      <c r="I89" s="64" t="str">
        <f t="shared" si="5"/>
        <v/>
      </c>
    </row>
    <row r="90" spans="1:9">
      <c r="A90" s="90"/>
      <c r="B90" s="91"/>
      <c r="C90" s="64" t="str">
        <f t="shared" si="3"/>
        <v/>
      </c>
      <c r="D90" s="68"/>
      <c r="E90" s="69"/>
      <c r="F90" s="64" t="str">
        <f t="shared" si="4"/>
        <v/>
      </c>
      <c r="G90" s="68"/>
      <c r="H90" s="69"/>
      <c r="I90" s="64" t="str">
        <f t="shared" si="5"/>
        <v/>
      </c>
    </row>
    <row r="91" spans="1:9">
      <c r="A91" s="90"/>
      <c r="B91" s="91"/>
      <c r="C91" s="64" t="str">
        <f t="shared" si="3"/>
        <v/>
      </c>
      <c r="D91" s="68"/>
      <c r="E91" s="69"/>
      <c r="F91" s="64" t="str">
        <f t="shared" si="4"/>
        <v/>
      </c>
      <c r="G91" s="68"/>
      <c r="H91" s="69"/>
      <c r="I91" s="64" t="str">
        <f t="shared" si="5"/>
        <v/>
      </c>
    </row>
    <row r="92" spans="1:9">
      <c r="A92" s="90"/>
      <c r="B92" s="91"/>
      <c r="C92" s="64" t="str">
        <f t="shared" si="3"/>
        <v/>
      </c>
      <c r="D92" s="68"/>
      <c r="E92" s="69"/>
      <c r="F92" s="64" t="str">
        <f t="shared" si="4"/>
        <v/>
      </c>
      <c r="G92" s="68"/>
      <c r="H92" s="69"/>
      <c r="I92" s="64" t="str">
        <f t="shared" si="5"/>
        <v/>
      </c>
    </row>
    <row r="93" spans="1:9">
      <c r="A93" s="90"/>
      <c r="B93" s="91"/>
      <c r="C93" s="64" t="str">
        <f t="shared" si="3"/>
        <v/>
      </c>
      <c r="D93" s="68"/>
      <c r="E93" s="69"/>
      <c r="F93" s="64" t="str">
        <f t="shared" si="4"/>
        <v/>
      </c>
      <c r="G93" s="68"/>
      <c r="H93" s="69"/>
      <c r="I93" s="64" t="str">
        <f t="shared" si="5"/>
        <v/>
      </c>
    </row>
    <row r="94" spans="1:9">
      <c r="A94" s="90"/>
      <c r="B94" s="91"/>
      <c r="C94" s="64" t="str">
        <f t="shared" si="3"/>
        <v/>
      </c>
      <c r="D94" s="68"/>
      <c r="E94" s="69"/>
      <c r="F94" s="64" t="str">
        <f t="shared" si="4"/>
        <v/>
      </c>
      <c r="G94" s="68"/>
      <c r="H94" s="69"/>
      <c r="I94" s="64" t="str">
        <f t="shared" si="5"/>
        <v/>
      </c>
    </row>
    <row r="95" spans="1:9">
      <c r="A95" s="90"/>
      <c r="B95" s="91"/>
      <c r="C95" s="64" t="str">
        <f t="shared" si="3"/>
        <v/>
      </c>
      <c r="D95" s="68"/>
      <c r="E95" s="69"/>
      <c r="F95" s="64" t="str">
        <f t="shared" si="4"/>
        <v/>
      </c>
      <c r="G95" s="68"/>
      <c r="H95" s="69"/>
      <c r="I95" s="64" t="str">
        <f t="shared" si="5"/>
        <v/>
      </c>
    </row>
    <row r="96" spans="1:9">
      <c r="A96" s="90"/>
      <c r="B96" s="91"/>
      <c r="C96" s="64" t="str">
        <f t="shared" si="3"/>
        <v/>
      </c>
      <c r="D96" s="68"/>
      <c r="E96" s="69"/>
      <c r="F96" s="64" t="str">
        <f t="shared" si="4"/>
        <v/>
      </c>
      <c r="G96" s="68"/>
      <c r="H96" s="69"/>
      <c r="I96" s="64" t="str">
        <f t="shared" si="5"/>
        <v/>
      </c>
    </row>
    <row r="97" spans="1:9">
      <c r="A97" s="90"/>
      <c r="B97" s="91"/>
      <c r="C97" s="64" t="str">
        <f t="shared" si="3"/>
        <v/>
      </c>
      <c r="D97" s="68"/>
      <c r="E97" s="69"/>
      <c r="F97" s="64" t="str">
        <f t="shared" si="4"/>
        <v/>
      </c>
      <c r="G97" s="68"/>
      <c r="H97" s="69"/>
      <c r="I97" s="64" t="str">
        <f t="shared" si="5"/>
        <v/>
      </c>
    </row>
    <row r="98" spans="1:9">
      <c r="A98" s="90"/>
      <c r="B98" s="91"/>
      <c r="C98" s="64" t="str">
        <f t="shared" si="3"/>
        <v/>
      </c>
      <c r="D98" s="68"/>
      <c r="E98" s="69"/>
      <c r="F98" s="64" t="str">
        <f t="shared" si="4"/>
        <v/>
      </c>
      <c r="G98" s="68"/>
      <c r="H98" s="69"/>
      <c r="I98" s="64" t="str">
        <f t="shared" si="5"/>
        <v/>
      </c>
    </row>
    <row r="99" spans="1:9">
      <c r="A99" s="90"/>
      <c r="B99" s="91"/>
      <c r="C99" s="64" t="str">
        <f t="shared" si="3"/>
        <v/>
      </c>
      <c r="D99" s="68"/>
      <c r="E99" s="69"/>
      <c r="F99" s="64" t="str">
        <f t="shared" si="4"/>
        <v/>
      </c>
      <c r="G99" s="68"/>
      <c r="H99" s="69"/>
      <c r="I99" s="64" t="str">
        <f t="shared" si="5"/>
        <v/>
      </c>
    </row>
    <row r="100" spans="1:9">
      <c r="A100" s="90"/>
      <c r="B100" s="91"/>
      <c r="C100" s="64" t="str">
        <f t="shared" si="3"/>
        <v/>
      </c>
      <c r="D100" s="68"/>
      <c r="E100" s="69"/>
      <c r="F100" s="64" t="str">
        <f t="shared" si="4"/>
        <v/>
      </c>
      <c r="G100" s="68"/>
      <c r="H100" s="69"/>
      <c r="I100" s="64" t="str">
        <f t="shared" si="5"/>
        <v/>
      </c>
    </row>
    <row r="101" spans="1:9">
      <c r="A101" s="90"/>
      <c r="B101" s="91"/>
      <c r="C101" s="64" t="str">
        <f t="shared" si="3"/>
        <v/>
      </c>
      <c r="D101" s="68"/>
      <c r="E101" s="69"/>
      <c r="F101" s="64" t="str">
        <f t="shared" si="4"/>
        <v/>
      </c>
      <c r="G101" s="68"/>
      <c r="H101" s="69"/>
      <c r="I101" s="64" t="str">
        <f t="shared" si="5"/>
        <v/>
      </c>
    </row>
    <row r="102" spans="1:9">
      <c r="A102" s="90"/>
      <c r="B102" s="91"/>
      <c r="C102" s="64" t="str">
        <f t="shared" si="3"/>
        <v/>
      </c>
      <c r="D102" s="68"/>
      <c r="E102" s="69"/>
      <c r="F102" s="64" t="str">
        <f t="shared" si="4"/>
        <v/>
      </c>
      <c r="G102" s="68"/>
      <c r="H102" s="69"/>
      <c r="I102" s="64" t="str">
        <f t="shared" si="5"/>
        <v/>
      </c>
    </row>
    <row r="103" spans="1:9">
      <c r="A103" s="90"/>
      <c r="B103" s="91"/>
      <c r="C103" s="64" t="str">
        <f t="shared" si="3"/>
        <v/>
      </c>
      <c r="D103" s="68"/>
      <c r="E103" s="69"/>
      <c r="F103" s="64" t="str">
        <f t="shared" si="4"/>
        <v/>
      </c>
      <c r="G103" s="68"/>
      <c r="H103" s="69"/>
      <c r="I103" s="64" t="str">
        <f t="shared" si="5"/>
        <v/>
      </c>
    </row>
    <row r="104" spans="1:9">
      <c r="A104" s="90"/>
      <c r="B104" s="91"/>
      <c r="C104" s="64" t="str">
        <f t="shared" si="3"/>
        <v/>
      </c>
      <c r="D104" s="68"/>
      <c r="E104" s="69"/>
      <c r="F104" s="64" t="str">
        <f t="shared" si="4"/>
        <v/>
      </c>
      <c r="G104" s="68"/>
      <c r="H104" s="69"/>
      <c r="I104" s="64" t="str">
        <f t="shared" si="5"/>
        <v/>
      </c>
    </row>
    <row r="105" spans="1:9">
      <c r="A105" s="90"/>
      <c r="B105" s="91"/>
      <c r="C105" s="64" t="str">
        <f t="shared" si="3"/>
        <v/>
      </c>
      <c r="D105" s="68"/>
      <c r="E105" s="69"/>
      <c r="F105" s="64" t="str">
        <f t="shared" si="4"/>
        <v/>
      </c>
      <c r="G105" s="68"/>
      <c r="H105" s="69"/>
      <c r="I105" s="64" t="str">
        <f t="shared" si="5"/>
        <v/>
      </c>
    </row>
    <row r="106" spans="1:9">
      <c r="A106" s="90"/>
      <c r="B106" s="91"/>
      <c r="C106" s="64" t="str">
        <f t="shared" si="3"/>
        <v/>
      </c>
      <c r="D106" s="68"/>
      <c r="E106" s="69"/>
      <c r="F106" s="64" t="str">
        <f t="shared" si="4"/>
        <v/>
      </c>
      <c r="G106" s="68"/>
      <c r="H106" s="69"/>
      <c r="I106" s="64" t="str">
        <f t="shared" si="5"/>
        <v/>
      </c>
    </row>
    <row r="107" spans="1:9">
      <c r="A107" s="90"/>
      <c r="B107" s="91"/>
      <c r="C107" s="64" t="str">
        <f t="shared" si="3"/>
        <v/>
      </c>
      <c r="D107" s="68"/>
      <c r="E107" s="69"/>
      <c r="F107" s="64" t="str">
        <f t="shared" si="4"/>
        <v/>
      </c>
      <c r="G107" s="68"/>
      <c r="H107" s="69"/>
      <c r="I107" s="64" t="str">
        <f t="shared" si="5"/>
        <v/>
      </c>
    </row>
    <row r="108" spans="1:9">
      <c r="A108" s="90"/>
      <c r="B108" s="91"/>
      <c r="C108" s="64" t="str">
        <f t="shared" si="3"/>
        <v/>
      </c>
      <c r="D108" s="68"/>
      <c r="E108" s="69"/>
      <c r="F108" s="64" t="str">
        <f t="shared" si="4"/>
        <v/>
      </c>
      <c r="G108" s="68"/>
      <c r="H108" s="69"/>
      <c r="I108" s="64" t="str">
        <f t="shared" si="5"/>
        <v/>
      </c>
    </row>
    <row r="109" spans="1:9">
      <c r="A109" s="90"/>
      <c r="B109" s="91"/>
      <c r="C109" s="64" t="str">
        <f t="shared" si="3"/>
        <v/>
      </c>
      <c r="D109" s="68"/>
      <c r="E109" s="69"/>
      <c r="F109" s="64" t="str">
        <f t="shared" si="4"/>
        <v/>
      </c>
      <c r="G109" s="68"/>
      <c r="H109" s="69"/>
      <c r="I109" s="64" t="str">
        <f t="shared" si="5"/>
        <v/>
      </c>
    </row>
    <row r="110" spans="1:9">
      <c r="A110" s="90"/>
      <c r="B110" s="91"/>
      <c r="C110" s="64" t="str">
        <f t="shared" si="3"/>
        <v/>
      </c>
      <c r="D110" s="68"/>
      <c r="E110" s="69"/>
      <c r="F110" s="64" t="str">
        <f t="shared" si="4"/>
        <v/>
      </c>
      <c r="G110" s="68"/>
      <c r="H110" s="69"/>
      <c r="I110" s="64" t="str">
        <f t="shared" si="5"/>
        <v/>
      </c>
    </row>
    <row r="111" spans="1:9">
      <c r="A111" s="90"/>
      <c r="B111" s="91"/>
      <c r="C111" s="64" t="str">
        <f t="shared" si="3"/>
        <v/>
      </c>
      <c r="D111" s="68"/>
      <c r="E111" s="69"/>
      <c r="F111" s="64" t="str">
        <f t="shared" si="4"/>
        <v/>
      </c>
      <c r="G111" s="68"/>
      <c r="H111" s="69"/>
      <c r="I111" s="64" t="str">
        <f t="shared" si="5"/>
        <v/>
      </c>
    </row>
    <row r="112" spans="1:9">
      <c r="A112" s="90"/>
      <c r="B112" s="91"/>
      <c r="C112" s="64" t="str">
        <f t="shared" si="3"/>
        <v/>
      </c>
      <c r="D112" s="68"/>
      <c r="E112" s="69"/>
      <c r="F112" s="64" t="str">
        <f t="shared" si="4"/>
        <v/>
      </c>
      <c r="G112" s="68"/>
      <c r="H112" s="69"/>
      <c r="I112" s="64" t="str">
        <f t="shared" si="5"/>
        <v/>
      </c>
    </row>
    <row r="113" spans="1:9">
      <c r="A113" s="90"/>
      <c r="B113" s="91"/>
      <c r="C113" s="64" t="str">
        <f t="shared" si="3"/>
        <v/>
      </c>
      <c r="D113" s="68"/>
      <c r="E113" s="69"/>
      <c r="F113" s="64" t="str">
        <f t="shared" si="4"/>
        <v/>
      </c>
      <c r="G113" s="68"/>
      <c r="H113" s="69"/>
      <c r="I113" s="64" t="str">
        <f t="shared" si="5"/>
        <v/>
      </c>
    </row>
    <row r="114" spans="1:9">
      <c r="A114" s="90"/>
      <c r="B114" s="91"/>
      <c r="C114" s="64" t="str">
        <f t="shared" si="3"/>
        <v/>
      </c>
      <c r="D114" s="68"/>
      <c r="E114" s="69"/>
      <c r="F114" s="64" t="str">
        <f t="shared" si="4"/>
        <v/>
      </c>
      <c r="G114" s="68"/>
      <c r="H114" s="69"/>
      <c r="I114" s="64" t="str">
        <f t="shared" si="5"/>
        <v/>
      </c>
    </row>
    <row r="115" spans="1:9">
      <c r="A115" s="90"/>
      <c r="B115" s="91"/>
      <c r="C115" s="64" t="str">
        <f t="shared" si="3"/>
        <v/>
      </c>
      <c r="D115" s="68"/>
      <c r="E115" s="69"/>
      <c r="F115" s="64" t="str">
        <f t="shared" si="4"/>
        <v/>
      </c>
      <c r="G115" s="68"/>
      <c r="H115" s="69"/>
      <c r="I115" s="64" t="str">
        <f t="shared" si="5"/>
        <v/>
      </c>
    </row>
    <row r="116" spans="1:9">
      <c r="A116" s="90"/>
      <c r="B116" s="91"/>
      <c r="C116" s="64" t="str">
        <f t="shared" si="3"/>
        <v/>
      </c>
      <c r="D116" s="68"/>
      <c r="E116" s="69"/>
      <c r="F116" s="64" t="str">
        <f t="shared" si="4"/>
        <v/>
      </c>
      <c r="G116" s="68"/>
      <c r="H116" s="69"/>
      <c r="I116" s="64" t="str">
        <f t="shared" si="5"/>
        <v/>
      </c>
    </row>
    <row r="117" spans="1:9">
      <c r="A117" s="90"/>
      <c r="B117" s="91"/>
      <c r="C117" s="64" t="str">
        <f t="shared" si="3"/>
        <v/>
      </c>
      <c r="D117" s="68"/>
      <c r="E117" s="69"/>
      <c r="F117" s="64" t="str">
        <f t="shared" si="4"/>
        <v/>
      </c>
      <c r="G117" s="68"/>
      <c r="H117" s="69"/>
      <c r="I117" s="64" t="str">
        <f t="shared" si="5"/>
        <v/>
      </c>
    </row>
    <row r="118" spans="1:9">
      <c r="A118" s="90"/>
      <c r="B118" s="91"/>
      <c r="C118" s="64" t="str">
        <f t="shared" si="3"/>
        <v/>
      </c>
      <c r="D118" s="68"/>
      <c r="E118" s="69"/>
      <c r="F118" s="64" t="str">
        <f t="shared" si="4"/>
        <v/>
      </c>
      <c r="G118" s="68"/>
      <c r="H118" s="69"/>
      <c r="I118" s="64" t="str">
        <f t="shared" si="5"/>
        <v/>
      </c>
    </row>
    <row r="119" spans="1:9">
      <c r="A119" s="90"/>
      <c r="B119" s="91"/>
      <c r="C119" s="64" t="str">
        <f t="shared" si="3"/>
        <v/>
      </c>
      <c r="D119" s="68"/>
      <c r="E119" s="69"/>
      <c r="F119" s="64" t="str">
        <f t="shared" si="4"/>
        <v/>
      </c>
      <c r="G119" s="68"/>
      <c r="H119" s="69"/>
      <c r="I119" s="64" t="str">
        <f t="shared" si="5"/>
        <v/>
      </c>
    </row>
    <row r="120" spans="1:9">
      <c r="A120" s="90"/>
      <c r="B120" s="91"/>
      <c r="C120" s="64" t="str">
        <f t="shared" si="3"/>
        <v/>
      </c>
      <c r="D120" s="68"/>
      <c r="E120" s="69"/>
      <c r="F120" s="64" t="str">
        <f t="shared" si="4"/>
        <v/>
      </c>
      <c r="G120" s="68"/>
      <c r="H120" s="69"/>
      <c r="I120" s="64" t="str">
        <f t="shared" si="5"/>
        <v/>
      </c>
    </row>
    <row r="121" spans="1:9">
      <c r="A121" s="90"/>
      <c r="B121" s="91"/>
      <c r="C121" s="64" t="str">
        <f t="shared" si="3"/>
        <v/>
      </c>
      <c r="D121" s="68"/>
      <c r="E121" s="69"/>
      <c r="F121" s="64" t="str">
        <f t="shared" si="4"/>
        <v/>
      </c>
      <c r="G121" s="68"/>
      <c r="H121" s="69"/>
      <c r="I121" s="64" t="str">
        <f t="shared" si="5"/>
        <v/>
      </c>
    </row>
    <row r="122" spans="1:9">
      <c r="A122" s="90"/>
      <c r="B122" s="91"/>
      <c r="C122" s="64" t="str">
        <f t="shared" si="3"/>
        <v/>
      </c>
      <c r="D122" s="68"/>
      <c r="E122" s="69"/>
      <c r="F122" s="64" t="str">
        <f t="shared" si="4"/>
        <v/>
      </c>
      <c r="G122" s="68"/>
      <c r="H122" s="69"/>
      <c r="I122" s="64" t="str">
        <f t="shared" si="5"/>
        <v/>
      </c>
    </row>
    <row r="123" spans="1:9">
      <c r="A123" s="90"/>
      <c r="B123" s="91"/>
      <c r="C123" s="64" t="str">
        <f t="shared" si="3"/>
        <v/>
      </c>
      <c r="D123" s="68"/>
      <c r="E123" s="69"/>
      <c r="F123" s="64" t="str">
        <f t="shared" si="4"/>
        <v/>
      </c>
      <c r="G123" s="68"/>
      <c r="H123" s="69"/>
      <c r="I123" s="64" t="str">
        <f t="shared" si="5"/>
        <v/>
      </c>
    </row>
    <row r="124" spans="1:9">
      <c r="A124" s="90"/>
      <c r="B124" s="91"/>
      <c r="C124" s="64" t="str">
        <f t="shared" si="3"/>
        <v/>
      </c>
      <c r="D124" s="68"/>
      <c r="E124" s="69"/>
      <c r="F124" s="64" t="str">
        <f t="shared" si="4"/>
        <v/>
      </c>
      <c r="G124" s="68"/>
      <c r="H124" s="69"/>
      <c r="I124" s="64" t="str">
        <f t="shared" si="5"/>
        <v/>
      </c>
    </row>
    <row r="125" spans="1:9">
      <c r="A125" s="90"/>
      <c r="B125" s="91"/>
      <c r="C125" s="64" t="str">
        <f t="shared" si="3"/>
        <v/>
      </c>
      <c r="D125" s="68"/>
      <c r="E125" s="69"/>
      <c r="F125" s="64" t="str">
        <f t="shared" si="4"/>
        <v/>
      </c>
      <c r="G125" s="68"/>
      <c r="H125" s="69"/>
      <c r="I125" s="64" t="str">
        <f t="shared" si="5"/>
        <v/>
      </c>
    </row>
    <row r="126" spans="1:9">
      <c r="A126" s="90"/>
      <c r="B126" s="91"/>
      <c r="C126" s="64" t="str">
        <f t="shared" si="3"/>
        <v/>
      </c>
      <c r="D126" s="68"/>
      <c r="E126" s="69"/>
      <c r="F126" s="64" t="str">
        <f t="shared" si="4"/>
        <v/>
      </c>
      <c r="G126" s="68"/>
      <c r="H126" s="69"/>
      <c r="I126" s="64" t="str">
        <f t="shared" si="5"/>
        <v/>
      </c>
    </row>
    <row r="127" spans="1:9">
      <c r="A127" s="90"/>
      <c r="B127" s="91"/>
      <c r="C127" s="64" t="str">
        <f t="shared" si="3"/>
        <v/>
      </c>
      <c r="D127" s="68"/>
      <c r="E127" s="69"/>
      <c r="F127" s="64" t="str">
        <f t="shared" si="4"/>
        <v/>
      </c>
      <c r="G127" s="68"/>
      <c r="H127" s="69"/>
      <c r="I127" s="64" t="str">
        <f t="shared" si="5"/>
        <v/>
      </c>
    </row>
    <row r="128" spans="1:9">
      <c r="A128" s="90"/>
      <c r="B128" s="91"/>
      <c r="C128" s="64" t="str">
        <f t="shared" si="3"/>
        <v/>
      </c>
      <c r="D128" s="68"/>
      <c r="E128" s="69"/>
      <c r="F128" s="64" t="str">
        <f t="shared" si="4"/>
        <v/>
      </c>
      <c r="G128" s="68"/>
      <c r="H128" s="69"/>
      <c r="I128" s="64" t="str">
        <f t="shared" si="5"/>
        <v/>
      </c>
    </row>
    <row r="129" spans="1:9">
      <c r="A129" s="90"/>
      <c r="B129" s="91"/>
      <c r="C129" s="64" t="str">
        <f t="shared" si="3"/>
        <v/>
      </c>
      <c r="D129" s="68"/>
      <c r="E129" s="69"/>
      <c r="F129" s="64" t="str">
        <f t="shared" si="4"/>
        <v/>
      </c>
      <c r="G129" s="68"/>
      <c r="H129" s="69"/>
      <c r="I129" s="64" t="str">
        <f t="shared" si="5"/>
        <v/>
      </c>
    </row>
    <row r="130" spans="1:9">
      <c r="A130" s="90"/>
      <c r="B130" s="91"/>
      <c r="C130" s="64" t="str">
        <f t="shared" si="3"/>
        <v/>
      </c>
      <c r="D130" s="68"/>
      <c r="E130" s="69"/>
      <c r="F130" s="64" t="str">
        <f t="shared" si="4"/>
        <v/>
      </c>
      <c r="G130" s="68"/>
      <c r="H130" s="69"/>
      <c r="I130" s="64" t="str">
        <f t="shared" si="5"/>
        <v/>
      </c>
    </row>
    <row r="131" spans="1:9">
      <c r="A131" s="90"/>
      <c r="B131" s="91"/>
      <c r="C131" s="64" t="str">
        <f t="shared" si="3"/>
        <v/>
      </c>
      <c r="D131" s="68"/>
      <c r="E131" s="69"/>
      <c r="F131" s="64" t="str">
        <f t="shared" si="4"/>
        <v/>
      </c>
      <c r="G131" s="68"/>
      <c r="H131" s="69"/>
      <c r="I131" s="64" t="str">
        <f t="shared" si="5"/>
        <v/>
      </c>
    </row>
    <row r="132" spans="1:9">
      <c r="A132" s="90"/>
      <c r="B132" s="91"/>
      <c r="C132" s="64" t="str">
        <f t="shared" si="3"/>
        <v/>
      </c>
      <c r="D132" s="68"/>
      <c r="E132" s="69"/>
      <c r="F132" s="64" t="str">
        <f t="shared" si="4"/>
        <v/>
      </c>
      <c r="G132" s="68"/>
      <c r="H132" s="69"/>
      <c r="I132" s="64" t="str">
        <f t="shared" si="5"/>
        <v/>
      </c>
    </row>
    <row r="133" spans="1:9">
      <c r="A133" s="90"/>
      <c r="B133" s="91"/>
      <c r="C133" s="64" t="str">
        <f t="shared" ref="C133:C196" si="6">IF(B133&gt;0,TEXT(B133,"(aaa)"),"")</f>
        <v/>
      </c>
      <c r="D133" s="68"/>
      <c r="E133" s="69"/>
      <c r="F133" s="64" t="str">
        <f t="shared" ref="F133:F196" si="7">IF(E133&gt;0,TEXT(E133,"(aaa)"),"")</f>
        <v/>
      </c>
      <c r="G133" s="68"/>
      <c r="H133" s="69"/>
      <c r="I133" s="64" t="str">
        <f t="shared" ref="I133:I196" si="8">IF(H133&gt;0,TEXT(H133,"(aaa)"),"")</f>
        <v/>
      </c>
    </row>
    <row r="134" spans="1:9">
      <c r="A134" s="90"/>
      <c r="B134" s="91"/>
      <c r="C134" s="64" t="str">
        <f t="shared" si="6"/>
        <v/>
      </c>
      <c r="D134" s="68"/>
      <c r="E134" s="69"/>
      <c r="F134" s="64" t="str">
        <f t="shared" si="7"/>
        <v/>
      </c>
      <c r="G134" s="68"/>
      <c r="H134" s="69"/>
      <c r="I134" s="64" t="str">
        <f t="shared" si="8"/>
        <v/>
      </c>
    </row>
    <row r="135" spans="1:9">
      <c r="A135" s="90"/>
      <c r="B135" s="91"/>
      <c r="C135" s="64" t="str">
        <f t="shared" si="6"/>
        <v/>
      </c>
      <c r="D135" s="68"/>
      <c r="E135" s="69"/>
      <c r="F135" s="64" t="str">
        <f t="shared" si="7"/>
        <v/>
      </c>
      <c r="G135" s="68"/>
      <c r="H135" s="69"/>
      <c r="I135" s="64" t="str">
        <f t="shared" si="8"/>
        <v/>
      </c>
    </row>
    <row r="136" spans="1:9">
      <c r="A136" s="90"/>
      <c r="B136" s="91"/>
      <c r="C136" s="64" t="str">
        <f t="shared" si="6"/>
        <v/>
      </c>
      <c r="D136" s="68"/>
      <c r="E136" s="69"/>
      <c r="F136" s="64" t="str">
        <f t="shared" si="7"/>
        <v/>
      </c>
      <c r="G136" s="68"/>
      <c r="H136" s="69"/>
      <c r="I136" s="64" t="str">
        <f t="shared" si="8"/>
        <v/>
      </c>
    </row>
    <row r="137" spans="1:9">
      <c r="A137" s="90"/>
      <c r="B137" s="91"/>
      <c r="C137" s="64" t="str">
        <f t="shared" si="6"/>
        <v/>
      </c>
      <c r="D137" s="68"/>
      <c r="E137" s="69"/>
      <c r="F137" s="64" t="str">
        <f t="shared" si="7"/>
        <v/>
      </c>
      <c r="G137" s="68"/>
      <c r="H137" s="69"/>
      <c r="I137" s="64" t="str">
        <f t="shared" si="8"/>
        <v/>
      </c>
    </row>
    <row r="138" spans="1:9">
      <c r="A138" s="90"/>
      <c r="B138" s="91"/>
      <c r="C138" s="64" t="str">
        <f t="shared" si="6"/>
        <v/>
      </c>
      <c r="D138" s="68"/>
      <c r="E138" s="69"/>
      <c r="F138" s="64" t="str">
        <f t="shared" si="7"/>
        <v/>
      </c>
      <c r="G138" s="68"/>
      <c r="H138" s="69"/>
      <c r="I138" s="64" t="str">
        <f t="shared" si="8"/>
        <v/>
      </c>
    </row>
    <row r="139" spans="1:9">
      <c r="A139" s="90"/>
      <c r="B139" s="91"/>
      <c r="C139" s="64" t="str">
        <f t="shared" si="6"/>
        <v/>
      </c>
      <c r="D139" s="68"/>
      <c r="E139" s="69"/>
      <c r="F139" s="64" t="str">
        <f t="shared" si="7"/>
        <v/>
      </c>
      <c r="G139" s="68"/>
      <c r="H139" s="69"/>
      <c r="I139" s="64" t="str">
        <f t="shared" si="8"/>
        <v/>
      </c>
    </row>
    <row r="140" spans="1:9">
      <c r="A140" s="90"/>
      <c r="B140" s="91"/>
      <c r="C140" s="64" t="str">
        <f t="shared" si="6"/>
        <v/>
      </c>
      <c r="D140" s="68"/>
      <c r="E140" s="69"/>
      <c r="F140" s="64" t="str">
        <f t="shared" si="7"/>
        <v/>
      </c>
      <c r="G140" s="68"/>
      <c r="H140" s="69"/>
      <c r="I140" s="64" t="str">
        <f t="shared" si="8"/>
        <v/>
      </c>
    </row>
    <row r="141" spans="1:9">
      <c r="A141" s="90"/>
      <c r="B141" s="91"/>
      <c r="C141" s="64" t="str">
        <f t="shared" si="6"/>
        <v/>
      </c>
      <c r="D141" s="68"/>
      <c r="E141" s="69"/>
      <c r="F141" s="64" t="str">
        <f t="shared" si="7"/>
        <v/>
      </c>
      <c r="G141" s="68"/>
      <c r="H141" s="69"/>
      <c r="I141" s="64" t="str">
        <f t="shared" si="8"/>
        <v/>
      </c>
    </row>
    <row r="142" spans="1:9">
      <c r="A142" s="90"/>
      <c r="B142" s="91"/>
      <c r="C142" s="64" t="str">
        <f t="shared" si="6"/>
        <v/>
      </c>
      <c r="D142" s="68"/>
      <c r="E142" s="69"/>
      <c r="F142" s="64" t="str">
        <f t="shared" si="7"/>
        <v/>
      </c>
      <c r="G142" s="68"/>
      <c r="H142" s="69"/>
      <c r="I142" s="64" t="str">
        <f t="shared" si="8"/>
        <v/>
      </c>
    </row>
    <row r="143" spans="1:9">
      <c r="A143" s="90"/>
      <c r="B143" s="91"/>
      <c r="C143" s="64" t="str">
        <f t="shared" si="6"/>
        <v/>
      </c>
      <c r="D143" s="68"/>
      <c r="E143" s="69"/>
      <c r="F143" s="64" t="str">
        <f t="shared" si="7"/>
        <v/>
      </c>
      <c r="G143" s="68"/>
      <c r="H143" s="69"/>
      <c r="I143" s="64" t="str">
        <f t="shared" si="8"/>
        <v/>
      </c>
    </row>
    <row r="144" spans="1:9">
      <c r="A144" s="90"/>
      <c r="B144" s="91"/>
      <c r="C144" s="64" t="str">
        <f t="shared" si="6"/>
        <v/>
      </c>
      <c r="D144" s="68"/>
      <c r="E144" s="69"/>
      <c r="F144" s="64" t="str">
        <f t="shared" si="7"/>
        <v/>
      </c>
      <c r="G144" s="68"/>
      <c r="H144" s="69"/>
      <c r="I144" s="64" t="str">
        <f t="shared" si="8"/>
        <v/>
      </c>
    </row>
    <row r="145" spans="1:9">
      <c r="A145" s="90"/>
      <c r="B145" s="91"/>
      <c r="C145" s="64" t="str">
        <f t="shared" si="6"/>
        <v/>
      </c>
      <c r="D145" s="68"/>
      <c r="E145" s="69"/>
      <c r="F145" s="64" t="str">
        <f t="shared" si="7"/>
        <v/>
      </c>
      <c r="G145" s="68"/>
      <c r="H145" s="69"/>
      <c r="I145" s="64" t="str">
        <f t="shared" si="8"/>
        <v/>
      </c>
    </row>
    <row r="146" spans="1:9">
      <c r="A146" s="90"/>
      <c r="B146" s="91"/>
      <c r="C146" s="64" t="str">
        <f t="shared" si="6"/>
        <v/>
      </c>
      <c r="D146" s="68"/>
      <c r="E146" s="69"/>
      <c r="F146" s="64" t="str">
        <f t="shared" si="7"/>
        <v/>
      </c>
      <c r="G146" s="68"/>
      <c r="H146" s="69"/>
      <c r="I146" s="64" t="str">
        <f t="shared" si="8"/>
        <v/>
      </c>
    </row>
    <row r="147" spans="1:9">
      <c r="A147" s="90"/>
      <c r="B147" s="91"/>
      <c r="C147" s="64" t="str">
        <f t="shared" si="6"/>
        <v/>
      </c>
      <c r="D147" s="68"/>
      <c r="E147" s="69"/>
      <c r="F147" s="64" t="str">
        <f t="shared" si="7"/>
        <v/>
      </c>
      <c r="G147" s="68"/>
      <c r="H147" s="69"/>
      <c r="I147" s="64" t="str">
        <f t="shared" si="8"/>
        <v/>
      </c>
    </row>
    <row r="148" spans="1:9">
      <c r="A148" s="90"/>
      <c r="B148" s="91"/>
      <c r="C148" s="64" t="str">
        <f t="shared" si="6"/>
        <v/>
      </c>
      <c r="D148" s="68"/>
      <c r="E148" s="69"/>
      <c r="F148" s="64" t="str">
        <f t="shared" si="7"/>
        <v/>
      </c>
      <c r="G148" s="68"/>
      <c r="H148" s="69"/>
      <c r="I148" s="64" t="str">
        <f t="shared" si="8"/>
        <v/>
      </c>
    </row>
    <row r="149" spans="1:9">
      <c r="A149" s="90"/>
      <c r="B149" s="91"/>
      <c r="C149" s="64" t="str">
        <f t="shared" si="6"/>
        <v/>
      </c>
      <c r="D149" s="68"/>
      <c r="E149" s="69"/>
      <c r="F149" s="64" t="str">
        <f t="shared" si="7"/>
        <v/>
      </c>
      <c r="G149" s="68"/>
      <c r="H149" s="69"/>
      <c r="I149" s="64" t="str">
        <f t="shared" si="8"/>
        <v/>
      </c>
    </row>
    <row r="150" spans="1:9">
      <c r="A150" s="90"/>
      <c r="B150" s="91"/>
      <c r="C150" s="64" t="str">
        <f t="shared" si="6"/>
        <v/>
      </c>
      <c r="D150" s="68"/>
      <c r="E150" s="69"/>
      <c r="F150" s="64" t="str">
        <f t="shared" si="7"/>
        <v/>
      </c>
      <c r="G150" s="68"/>
      <c r="H150" s="69"/>
      <c r="I150" s="64" t="str">
        <f t="shared" si="8"/>
        <v/>
      </c>
    </row>
    <row r="151" spans="1:9">
      <c r="A151" s="90"/>
      <c r="B151" s="91"/>
      <c r="C151" s="64" t="str">
        <f t="shared" si="6"/>
        <v/>
      </c>
      <c r="D151" s="68"/>
      <c r="E151" s="69"/>
      <c r="F151" s="64" t="str">
        <f t="shared" si="7"/>
        <v/>
      </c>
      <c r="G151" s="68"/>
      <c r="H151" s="69"/>
      <c r="I151" s="64" t="str">
        <f t="shared" si="8"/>
        <v/>
      </c>
    </row>
    <row r="152" spans="1:9">
      <c r="A152" s="90"/>
      <c r="B152" s="91"/>
      <c r="C152" s="64" t="str">
        <f t="shared" si="6"/>
        <v/>
      </c>
      <c r="D152" s="68"/>
      <c r="E152" s="69"/>
      <c r="F152" s="64" t="str">
        <f t="shared" si="7"/>
        <v/>
      </c>
      <c r="G152" s="68"/>
      <c r="H152" s="69"/>
      <c r="I152" s="64" t="str">
        <f t="shared" si="8"/>
        <v/>
      </c>
    </row>
    <row r="153" spans="1:9">
      <c r="A153" s="90"/>
      <c r="B153" s="91"/>
      <c r="C153" s="64" t="str">
        <f t="shared" si="6"/>
        <v/>
      </c>
      <c r="D153" s="68"/>
      <c r="E153" s="69"/>
      <c r="F153" s="64" t="str">
        <f t="shared" si="7"/>
        <v/>
      </c>
      <c r="G153" s="68"/>
      <c r="H153" s="69"/>
      <c r="I153" s="64" t="str">
        <f t="shared" si="8"/>
        <v/>
      </c>
    </row>
    <row r="154" spans="1:9">
      <c r="A154" s="90"/>
      <c r="B154" s="91"/>
      <c r="C154" s="64" t="str">
        <f t="shared" si="6"/>
        <v/>
      </c>
      <c r="D154" s="68"/>
      <c r="E154" s="69"/>
      <c r="F154" s="64" t="str">
        <f t="shared" si="7"/>
        <v/>
      </c>
      <c r="G154" s="68"/>
      <c r="H154" s="69"/>
      <c r="I154" s="64" t="str">
        <f t="shared" si="8"/>
        <v/>
      </c>
    </row>
    <row r="155" spans="1:9">
      <c r="A155" s="90"/>
      <c r="B155" s="91"/>
      <c r="C155" s="64" t="str">
        <f t="shared" si="6"/>
        <v/>
      </c>
      <c r="D155" s="68"/>
      <c r="E155" s="69"/>
      <c r="F155" s="64" t="str">
        <f t="shared" si="7"/>
        <v/>
      </c>
      <c r="G155" s="68"/>
      <c r="H155" s="69"/>
      <c r="I155" s="64" t="str">
        <f t="shared" si="8"/>
        <v/>
      </c>
    </row>
    <row r="156" spans="1:9">
      <c r="A156" s="90"/>
      <c r="B156" s="91"/>
      <c r="C156" s="64" t="str">
        <f t="shared" si="6"/>
        <v/>
      </c>
      <c r="D156" s="68"/>
      <c r="E156" s="69"/>
      <c r="F156" s="64" t="str">
        <f t="shared" si="7"/>
        <v/>
      </c>
      <c r="G156" s="68"/>
      <c r="H156" s="69"/>
      <c r="I156" s="64" t="str">
        <f t="shared" si="8"/>
        <v/>
      </c>
    </row>
    <row r="157" spans="1:9">
      <c r="A157" s="90"/>
      <c r="B157" s="91"/>
      <c r="C157" s="64" t="str">
        <f t="shared" si="6"/>
        <v/>
      </c>
      <c r="D157" s="68"/>
      <c r="E157" s="69"/>
      <c r="F157" s="64" t="str">
        <f t="shared" si="7"/>
        <v/>
      </c>
      <c r="G157" s="68"/>
      <c r="H157" s="69"/>
      <c r="I157" s="64" t="str">
        <f t="shared" si="8"/>
        <v/>
      </c>
    </row>
    <row r="158" spans="1:9">
      <c r="A158" s="90"/>
      <c r="B158" s="91"/>
      <c r="C158" s="64" t="str">
        <f t="shared" si="6"/>
        <v/>
      </c>
      <c r="D158" s="68"/>
      <c r="E158" s="69"/>
      <c r="F158" s="64" t="str">
        <f t="shared" si="7"/>
        <v/>
      </c>
      <c r="G158" s="68"/>
      <c r="H158" s="69"/>
      <c r="I158" s="64" t="str">
        <f t="shared" si="8"/>
        <v/>
      </c>
    </row>
    <row r="159" spans="1:9">
      <c r="A159" s="90"/>
      <c r="B159" s="91"/>
      <c r="C159" s="64" t="str">
        <f t="shared" si="6"/>
        <v/>
      </c>
      <c r="D159" s="68"/>
      <c r="E159" s="69"/>
      <c r="F159" s="64" t="str">
        <f t="shared" si="7"/>
        <v/>
      </c>
      <c r="G159" s="68"/>
      <c r="H159" s="69"/>
      <c r="I159" s="64" t="str">
        <f t="shared" si="8"/>
        <v/>
      </c>
    </row>
    <row r="160" spans="1:9">
      <c r="A160" s="90"/>
      <c r="B160" s="91"/>
      <c r="C160" s="64" t="str">
        <f t="shared" si="6"/>
        <v/>
      </c>
      <c r="D160" s="68"/>
      <c r="E160" s="69"/>
      <c r="F160" s="64" t="str">
        <f t="shared" si="7"/>
        <v/>
      </c>
      <c r="G160" s="68"/>
      <c r="H160" s="69"/>
      <c r="I160" s="64" t="str">
        <f t="shared" si="8"/>
        <v/>
      </c>
    </row>
    <row r="161" spans="1:9">
      <c r="A161" s="90"/>
      <c r="B161" s="91"/>
      <c r="C161" s="64" t="str">
        <f t="shared" si="6"/>
        <v/>
      </c>
      <c r="D161" s="68"/>
      <c r="E161" s="69"/>
      <c r="F161" s="64" t="str">
        <f t="shared" si="7"/>
        <v/>
      </c>
      <c r="G161" s="68"/>
      <c r="H161" s="69"/>
      <c r="I161" s="64" t="str">
        <f t="shared" si="8"/>
        <v/>
      </c>
    </row>
    <row r="162" spans="1:9">
      <c r="A162" s="90"/>
      <c r="B162" s="91"/>
      <c r="C162" s="64" t="str">
        <f t="shared" si="6"/>
        <v/>
      </c>
      <c r="D162" s="68"/>
      <c r="E162" s="69"/>
      <c r="F162" s="64" t="str">
        <f t="shared" si="7"/>
        <v/>
      </c>
      <c r="G162" s="68"/>
      <c r="H162" s="69"/>
      <c r="I162" s="64" t="str">
        <f t="shared" si="8"/>
        <v/>
      </c>
    </row>
    <row r="163" spans="1:9">
      <c r="A163" s="90"/>
      <c r="B163" s="91"/>
      <c r="C163" s="64" t="str">
        <f t="shared" si="6"/>
        <v/>
      </c>
      <c r="D163" s="68"/>
      <c r="E163" s="69"/>
      <c r="F163" s="64" t="str">
        <f t="shared" si="7"/>
        <v/>
      </c>
      <c r="G163" s="68"/>
      <c r="H163" s="69"/>
      <c r="I163" s="64" t="str">
        <f t="shared" si="8"/>
        <v/>
      </c>
    </row>
    <row r="164" spans="1:9">
      <c r="A164" s="90"/>
      <c r="B164" s="91"/>
      <c r="C164" s="64" t="str">
        <f t="shared" si="6"/>
        <v/>
      </c>
      <c r="D164" s="68"/>
      <c r="E164" s="69"/>
      <c r="F164" s="64" t="str">
        <f t="shared" si="7"/>
        <v/>
      </c>
      <c r="G164" s="68"/>
      <c r="H164" s="69"/>
      <c r="I164" s="64" t="str">
        <f t="shared" si="8"/>
        <v/>
      </c>
    </row>
    <row r="165" spans="1:9">
      <c r="A165" s="90"/>
      <c r="B165" s="91"/>
      <c r="C165" s="64" t="str">
        <f t="shared" si="6"/>
        <v/>
      </c>
      <c r="D165" s="68"/>
      <c r="E165" s="69"/>
      <c r="F165" s="64" t="str">
        <f t="shared" si="7"/>
        <v/>
      </c>
      <c r="G165" s="68"/>
      <c r="H165" s="69"/>
      <c r="I165" s="64" t="str">
        <f t="shared" si="8"/>
        <v/>
      </c>
    </row>
    <row r="166" spans="1:9">
      <c r="A166" s="90"/>
      <c r="B166" s="91"/>
      <c r="C166" s="64" t="str">
        <f t="shared" si="6"/>
        <v/>
      </c>
      <c r="D166" s="68"/>
      <c r="E166" s="69"/>
      <c r="F166" s="64" t="str">
        <f t="shared" si="7"/>
        <v/>
      </c>
      <c r="G166" s="68"/>
      <c r="H166" s="69"/>
      <c r="I166" s="64" t="str">
        <f t="shared" si="8"/>
        <v/>
      </c>
    </row>
    <row r="167" spans="1:9">
      <c r="A167" s="90"/>
      <c r="B167" s="91"/>
      <c r="C167" s="64" t="str">
        <f t="shared" si="6"/>
        <v/>
      </c>
      <c r="D167" s="68"/>
      <c r="E167" s="69"/>
      <c r="F167" s="64" t="str">
        <f t="shared" si="7"/>
        <v/>
      </c>
      <c r="G167" s="68"/>
      <c r="H167" s="69"/>
      <c r="I167" s="64" t="str">
        <f t="shared" si="8"/>
        <v/>
      </c>
    </row>
    <row r="168" spans="1:9">
      <c r="A168" s="90"/>
      <c r="B168" s="91"/>
      <c r="C168" s="64" t="str">
        <f t="shared" si="6"/>
        <v/>
      </c>
      <c r="D168" s="68"/>
      <c r="E168" s="69"/>
      <c r="F168" s="64" t="str">
        <f t="shared" si="7"/>
        <v/>
      </c>
      <c r="G168" s="68"/>
      <c r="H168" s="69"/>
      <c r="I168" s="64" t="str">
        <f t="shared" si="8"/>
        <v/>
      </c>
    </row>
    <row r="169" spans="1:9">
      <c r="A169" s="90"/>
      <c r="B169" s="91"/>
      <c r="C169" s="64" t="str">
        <f t="shared" si="6"/>
        <v/>
      </c>
      <c r="D169" s="68"/>
      <c r="E169" s="69"/>
      <c r="F169" s="64" t="str">
        <f t="shared" si="7"/>
        <v/>
      </c>
      <c r="G169" s="68"/>
      <c r="H169" s="69"/>
      <c r="I169" s="64" t="str">
        <f t="shared" si="8"/>
        <v/>
      </c>
    </row>
    <row r="170" spans="1:9">
      <c r="A170" s="90"/>
      <c r="B170" s="91"/>
      <c r="C170" s="64" t="str">
        <f t="shared" si="6"/>
        <v/>
      </c>
      <c r="D170" s="68"/>
      <c r="E170" s="69"/>
      <c r="F170" s="64" t="str">
        <f t="shared" si="7"/>
        <v/>
      </c>
      <c r="G170" s="68"/>
      <c r="H170" s="69"/>
      <c r="I170" s="64" t="str">
        <f t="shared" si="8"/>
        <v/>
      </c>
    </row>
    <row r="171" spans="1:9">
      <c r="A171" s="90"/>
      <c r="B171" s="91"/>
      <c r="C171" s="64" t="str">
        <f t="shared" si="6"/>
        <v/>
      </c>
      <c r="D171" s="68"/>
      <c r="E171" s="69"/>
      <c r="F171" s="64" t="str">
        <f t="shared" si="7"/>
        <v/>
      </c>
      <c r="G171" s="68"/>
      <c r="H171" s="69"/>
      <c r="I171" s="64" t="str">
        <f t="shared" si="8"/>
        <v/>
      </c>
    </row>
    <row r="172" spans="1:9">
      <c r="A172" s="90"/>
      <c r="B172" s="91"/>
      <c r="C172" s="64" t="str">
        <f t="shared" si="6"/>
        <v/>
      </c>
      <c r="D172" s="68"/>
      <c r="E172" s="69"/>
      <c r="F172" s="64" t="str">
        <f t="shared" si="7"/>
        <v/>
      </c>
      <c r="G172" s="68"/>
      <c r="H172" s="69"/>
      <c r="I172" s="64" t="str">
        <f t="shared" si="8"/>
        <v/>
      </c>
    </row>
    <row r="173" spans="1:9">
      <c r="A173" s="90"/>
      <c r="B173" s="91"/>
      <c r="C173" s="64" t="str">
        <f t="shared" si="6"/>
        <v/>
      </c>
      <c r="D173" s="68"/>
      <c r="E173" s="69"/>
      <c r="F173" s="64" t="str">
        <f t="shared" si="7"/>
        <v/>
      </c>
      <c r="G173" s="68"/>
      <c r="H173" s="69"/>
      <c r="I173" s="64" t="str">
        <f t="shared" si="8"/>
        <v/>
      </c>
    </row>
    <row r="174" spans="1:9">
      <c r="A174" s="90"/>
      <c r="B174" s="91"/>
      <c r="C174" s="64" t="str">
        <f t="shared" si="6"/>
        <v/>
      </c>
      <c r="D174" s="68"/>
      <c r="E174" s="69"/>
      <c r="F174" s="64" t="str">
        <f t="shared" si="7"/>
        <v/>
      </c>
      <c r="G174" s="68"/>
      <c r="H174" s="69"/>
      <c r="I174" s="64" t="str">
        <f t="shared" si="8"/>
        <v/>
      </c>
    </row>
    <row r="175" spans="1:9">
      <c r="A175" s="90"/>
      <c r="B175" s="91"/>
      <c r="C175" s="64" t="str">
        <f t="shared" si="6"/>
        <v/>
      </c>
      <c r="D175" s="68"/>
      <c r="E175" s="69"/>
      <c r="F175" s="64" t="str">
        <f t="shared" si="7"/>
        <v/>
      </c>
      <c r="G175" s="68"/>
      <c r="H175" s="69"/>
      <c r="I175" s="64" t="str">
        <f t="shared" si="8"/>
        <v/>
      </c>
    </row>
    <row r="176" spans="1:9">
      <c r="A176" s="90"/>
      <c r="B176" s="91"/>
      <c r="C176" s="64" t="str">
        <f t="shared" si="6"/>
        <v/>
      </c>
      <c r="D176" s="68"/>
      <c r="E176" s="69"/>
      <c r="F176" s="64" t="str">
        <f t="shared" si="7"/>
        <v/>
      </c>
      <c r="G176" s="68"/>
      <c r="H176" s="69"/>
      <c r="I176" s="64" t="str">
        <f t="shared" si="8"/>
        <v/>
      </c>
    </row>
    <row r="177" spans="1:9">
      <c r="A177" s="90"/>
      <c r="B177" s="91"/>
      <c r="C177" s="64" t="str">
        <f t="shared" si="6"/>
        <v/>
      </c>
      <c r="D177" s="68"/>
      <c r="E177" s="69"/>
      <c r="F177" s="64" t="str">
        <f t="shared" si="7"/>
        <v/>
      </c>
      <c r="G177" s="68"/>
      <c r="H177" s="69"/>
      <c r="I177" s="64" t="str">
        <f t="shared" si="8"/>
        <v/>
      </c>
    </row>
    <row r="178" spans="1:9">
      <c r="A178" s="90"/>
      <c r="B178" s="91"/>
      <c r="C178" s="64" t="str">
        <f t="shared" si="6"/>
        <v/>
      </c>
      <c r="D178" s="68"/>
      <c r="E178" s="69"/>
      <c r="F178" s="64" t="str">
        <f t="shared" si="7"/>
        <v/>
      </c>
      <c r="G178" s="68"/>
      <c r="H178" s="69"/>
      <c r="I178" s="64" t="str">
        <f t="shared" si="8"/>
        <v/>
      </c>
    </row>
    <row r="179" spans="1:9">
      <c r="A179" s="90"/>
      <c r="B179" s="91"/>
      <c r="C179" s="64" t="str">
        <f t="shared" si="6"/>
        <v/>
      </c>
      <c r="D179" s="68"/>
      <c r="E179" s="69"/>
      <c r="F179" s="64" t="str">
        <f t="shared" si="7"/>
        <v/>
      </c>
      <c r="G179" s="68"/>
      <c r="H179" s="69"/>
      <c r="I179" s="64" t="str">
        <f t="shared" si="8"/>
        <v/>
      </c>
    </row>
    <row r="180" spans="1:9">
      <c r="A180" s="90"/>
      <c r="B180" s="91"/>
      <c r="C180" s="64" t="str">
        <f t="shared" si="6"/>
        <v/>
      </c>
      <c r="D180" s="68"/>
      <c r="E180" s="69"/>
      <c r="F180" s="64" t="str">
        <f t="shared" si="7"/>
        <v/>
      </c>
      <c r="G180" s="68"/>
      <c r="H180" s="69"/>
      <c r="I180" s="64" t="str">
        <f t="shared" si="8"/>
        <v/>
      </c>
    </row>
    <row r="181" spans="1:9">
      <c r="A181" s="90"/>
      <c r="B181" s="91"/>
      <c r="C181" s="64" t="str">
        <f t="shared" si="6"/>
        <v/>
      </c>
      <c r="D181" s="68"/>
      <c r="E181" s="69"/>
      <c r="F181" s="64" t="str">
        <f t="shared" si="7"/>
        <v/>
      </c>
      <c r="G181" s="68"/>
      <c r="H181" s="69"/>
      <c r="I181" s="64" t="str">
        <f t="shared" si="8"/>
        <v/>
      </c>
    </row>
    <row r="182" spans="1:9">
      <c r="A182" s="90"/>
      <c r="B182" s="91"/>
      <c r="C182" s="64" t="str">
        <f t="shared" si="6"/>
        <v/>
      </c>
      <c r="D182" s="68"/>
      <c r="E182" s="69"/>
      <c r="F182" s="64" t="str">
        <f t="shared" si="7"/>
        <v/>
      </c>
      <c r="G182" s="68"/>
      <c r="H182" s="69"/>
      <c r="I182" s="64" t="str">
        <f t="shared" si="8"/>
        <v/>
      </c>
    </row>
    <row r="183" spans="1:9">
      <c r="A183" s="90"/>
      <c r="B183" s="91"/>
      <c r="C183" s="64" t="str">
        <f t="shared" si="6"/>
        <v/>
      </c>
      <c r="D183" s="68"/>
      <c r="E183" s="69"/>
      <c r="F183" s="64" t="str">
        <f t="shared" si="7"/>
        <v/>
      </c>
      <c r="G183" s="68"/>
      <c r="H183" s="69"/>
      <c r="I183" s="64" t="str">
        <f t="shared" si="8"/>
        <v/>
      </c>
    </row>
    <row r="184" spans="1:9">
      <c r="A184" s="90"/>
      <c r="B184" s="91"/>
      <c r="C184" s="64" t="str">
        <f t="shared" si="6"/>
        <v/>
      </c>
      <c r="D184" s="68"/>
      <c r="E184" s="69"/>
      <c r="F184" s="64" t="str">
        <f t="shared" si="7"/>
        <v/>
      </c>
      <c r="G184" s="68"/>
      <c r="H184" s="69"/>
      <c r="I184" s="64" t="str">
        <f t="shared" si="8"/>
        <v/>
      </c>
    </row>
    <row r="185" spans="1:9">
      <c r="A185" s="90"/>
      <c r="B185" s="91"/>
      <c r="C185" s="64" t="str">
        <f t="shared" si="6"/>
        <v/>
      </c>
      <c r="D185" s="68"/>
      <c r="E185" s="69"/>
      <c r="F185" s="64" t="str">
        <f t="shared" si="7"/>
        <v/>
      </c>
      <c r="G185" s="68"/>
      <c r="H185" s="69"/>
      <c r="I185" s="64" t="str">
        <f t="shared" si="8"/>
        <v/>
      </c>
    </row>
    <row r="186" spans="1:9">
      <c r="A186" s="90"/>
      <c r="B186" s="91"/>
      <c r="C186" s="64" t="str">
        <f t="shared" si="6"/>
        <v/>
      </c>
      <c r="D186" s="68"/>
      <c r="E186" s="69"/>
      <c r="F186" s="64" t="str">
        <f t="shared" si="7"/>
        <v/>
      </c>
      <c r="G186" s="68"/>
      <c r="H186" s="69"/>
      <c r="I186" s="64" t="str">
        <f t="shared" si="8"/>
        <v/>
      </c>
    </row>
    <row r="187" spans="1:9">
      <c r="A187" s="90"/>
      <c r="B187" s="91"/>
      <c r="C187" s="64" t="str">
        <f t="shared" si="6"/>
        <v/>
      </c>
      <c r="D187" s="68"/>
      <c r="E187" s="69"/>
      <c r="F187" s="64" t="str">
        <f t="shared" si="7"/>
        <v/>
      </c>
      <c r="G187" s="68"/>
      <c r="H187" s="69"/>
      <c r="I187" s="64" t="str">
        <f t="shared" si="8"/>
        <v/>
      </c>
    </row>
    <row r="188" spans="1:9">
      <c r="A188" s="90"/>
      <c r="B188" s="91"/>
      <c r="C188" s="64" t="str">
        <f t="shared" si="6"/>
        <v/>
      </c>
      <c r="D188" s="68"/>
      <c r="E188" s="69"/>
      <c r="F188" s="64" t="str">
        <f t="shared" si="7"/>
        <v/>
      </c>
      <c r="G188" s="68"/>
      <c r="H188" s="69"/>
      <c r="I188" s="64" t="str">
        <f t="shared" si="8"/>
        <v/>
      </c>
    </row>
    <row r="189" spans="1:9">
      <c r="A189" s="90"/>
      <c r="B189" s="91"/>
      <c r="C189" s="64" t="str">
        <f t="shared" si="6"/>
        <v/>
      </c>
      <c r="D189" s="68"/>
      <c r="E189" s="69"/>
      <c r="F189" s="64" t="str">
        <f t="shared" si="7"/>
        <v/>
      </c>
      <c r="G189" s="68"/>
      <c r="H189" s="69"/>
      <c r="I189" s="64" t="str">
        <f t="shared" si="8"/>
        <v/>
      </c>
    </row>
    <row r="190" spans="1:9">
      <c r="A190" s="90"/>
      <c r="B190" s="91"/>
      <c r="C190" s="64" t="str">
        <f t="shared" si="6"/>
        <v/>
      </c>
      <c r="D190" s="68"/>
      <c r="E190" s="69"/>
      <c r="F190" s="64" t="str">
        <f t="shared" si="7"/>
        <v/>
      </c>
      <c r="G190" s="68"/>
      <c r="H190" s="69"/>
      <c r="I190" s="64" t="str">
        <f t="shared" si="8"/>
        <v/>
      </c>
    </row>
    <row r="191" spans="1:9">
      <c r="A191" s="90"/>
      <c r="B191" s="91"/>
      <c r="C191" s="64" t="str">
        <f t="shared" si="6"/>
        <v/>
      </c>
      <c r="D191" s="68"/>
      <c r="E191" s="69"/>
      <c r="F191" s="64" t="str">
        <f t="shared" si="7"/>
        <v/>
      </c>
      <c r="G191" s="68"/>
      <c r="H191" s="69"/>
      <c r="I191" s="64" t="str">
        <f t="shared" si="8"/>
        <v/>
      </c>
    </row>
    <row r="192" spans="1:9">
      <c r="A192" s="90"/>
      <c r="B192" s="91"/>
      <c r="C192" s="64" t="str">
        <f t="shared" si="6"/>
        <v/>
      </c>
      <c r="D192" s="68"/>
      <c r="E192" s="69"/>
      <c r="F192" s="64" t="str">
        <f t="shared" si="7"/>
        <v/>
      </c>
      <c r="G192" s="68"/>
      <c r="H192" s="69"/>
      <c r="I192" s="64" t="str">
        <f t="shared" si="8"/>
        <v/>
      </c>
    </row>
    <row r="193" spans="1:9">
      <c r="A193" s="90"/>
      <c r="B193" s="91"/>
      <c r="C193" s="64" t="str">
        <f t="shared" si="6"/>
        <v/>
      </c>
      <c r="D193" s="68"/>
      <c r="E193" s="69"/>
      <c r="F193" s="64" t="str">
        <f t="shared" si="7"/>
        <v/>
      </c>
      <c r="G193" s="68"/>
      <c r="H193" s="69"/>
      <c r="I193" s="64" t="str">
        <f t="shared" si="8"/>
        <v/>
      </c>
    </row>
    <row r="194" spans="1:9">
      <c r="A194" s="90"/>
      <c r="B194" s="91"/>
      <c r="C194" s="64" t="str">
        <f t="shared" si="6"/>
        <v/>
      </c>
      <c r="D194" s="68"/>
      <c r="E194" s="69"/>
      <c r="F194" s="64" t="str">
        <f t="shared" si="7"/>
        <v/>
      </c>
      <c r="G194" s="68"/>
      <c r="H194" s="69"/>
      <c r="I194" s="64" t="str">
        <f t="shared" si="8"/>
        <v/>
      </c>
    </row>
    <row r="195" spans="1:9">
      <c r="A195" s="90"/>
      <c r="B195" s="91"/>
      <c r="C195" s="64" t="str">
        <f t="shared" si="6"/>
        <v/>
      </c>
      <c r="D195" s="68"/>
      <c r="E195" s="69"/>
      <c r="F195" s="64" t="str">
        <f t="shared" si="7"/>
        <v/>
      </c>
      <c r="G195" s="68"/>
      <c r="H195" s="69"/>
      <c r="I195" s="64" t="str">
        <f t="shared" si="8"/>
        <v/>
      </c>
    </row>
    <row r="196" spans="1:9">
      <c r="A196" s="90"/>
      <c r="B196" s="91"/>
      <c r="C196" s="64" t="str">
        <f t="shared" si="6"/>
        <v/>
      </c>
      <c r="D196" s="68"/>
      <c r="E196" s="69"/>
      <c r="F196" s="64" t="str">
        <f t="shared" si="7"/>
        <v/>
      </c>
      <c r="G196" s="68"/>
      <c r="H196" s="69"/>
      <c r="I196" s="64" t="str">
        <f t="shared" si="8"/>
        <v/>
      </c>
    </row>
    <row r="197" spans="1:9">
      <c r="A197" s="90"/>
      <c r="B197" s="91"/>
      <c r="C197" s="64" t="str">
        <f t="shared" ref="C197:C260" si="9">IF(B197&gt;0,TEXT(B197,"(aaa)"),"")</f>
        <v/>
      </c>
      <c r="D197" s="68"/>
      <c r="E197" s="69"/>
      <c r="F197" s="64" t="str">
        <f t="shared" ref="F197:F260" si="10">IF(E197&gt;0,TEXT(E197,"(aaa)"),"")</f>
        <v/>
      </c>
      <c r="G197" s="68"/>
      <c r="H197" s="69"/>
      <c r="I197" s="64" t="str">
        <f t="shared" ref="I197:I260" si="11">IF(H197&gt;0,TEXT(H197,"(aaa)"),"")</f>
        <v/>
      </c>
    </row>
    <row r="198" spans="1:9">
      <c r="A198" s="90"/>
      <c r="B198" s="91"/>
      <c r="C198" s="64" t="str">
        <f t="shared" si="9"/>
        <v/>
      </c>
      <c r="D198" s="68"/>
      <c r="E198" s="69"/>
      <c r="F198" s="64" t="str">
        <f t="shared" si="10"/>
        <v/>
      </c>
      <c r="G198" s="68"/>
      <c r="H198" s="69"/>
      <c r="I198" s="64" t="str">
        <f t="shared" si="11"/>
        <v/>
      </c>
    </row>
    <row r="199" spans="1:9">
      <c r="A199" s="90"/>
      <c r="B199" s="91"/>
      <c r="C199" s="64" t="str">
        <f t="shared" si="9"/>
        <v/>
      </c>
      <c r="D199" s="68"/>
      <c r="E199" s="69"/>
      <c r="F199" s="64" t="str">
        <f t="shared" si="10"/>
        <v/>
      </c>
      <c r="G199" s="68"/>
      <c r="H199" s="69"/>
      <c r="I199" s="64" t="str">
        <f t="shared" si="11"/>
        <v/>
      </c>
    </row>
    <row r="200" spans="1:9">
      <c r="A200" s="90"/>
      <c r="B200" s="91"/>
      <c r="C200" s="64" t="str">
        <f t="shared" si="9"/>
        <v/>
      </c>
      <c r="D200" s="68"/>
      <c r="E200" s="69"/>
      <c r="F200" s="64" t="str">
        <f t="shared" si="10"/>
        <v/>
      </c>
      <c r="G200" s="68"/>
      <c r="H200" s="69"/>
      <c r="I200" s="64" t="str">
        <f t="shared" si="11"/>
        <v/>
      </c>
    </row>
    <row r="201" spans="1:9">
      <c r="A201" s="90"/>
      <c r="B201" s="91"/>
      <c r="C201" s="64" t="str">
        <f t="shared" si="9"/>
        <v/>
      </c>
      <c r="D201" s="68"/>
      <c r="E201" s="69"/>
      <c r="F201" s="64" t="str">
        <f t="shared" si="10"/>
        <v/>
      </c>
      <c r="G201" s="68"/>
      <c r="H201" s="69"/>
      <c r="I201" s="64" t="str">
        <f t="shared" si="11"/>
        <v/>
      </c>
    </row>
    <row r="202" spans="1:9">
      <c r="A202" s="90"/>
      <c r="B202" s="91"/>
      <c r="C202" s="64" t="str">
        <f t="shared" si="9"/>
        <v/>
      </c>
      <c r="D202" s="68"/>
      <c r="E202" s="69"/>
      <c r="F202" s="64" t="str">
        <f t="shared" si="10"/>
        <v/>
      </c>
      <c r="G202" s="68"/>
      <c r="H202" s="69"/>
      <c r="I202" s="64" t="str">
        <f t="shared" si="11"/>
        <v/>
      </c>
    </row>
    <row r="203" spans="1:9">
      <c r="A203" s="90"/>
      <c r="B203" s="91"/>
      <c r="C203" s="64" t="str">
        <f t="shared" si="9"/>
        <v/>
      </c>
      <c r="D203" s="68"/>
      <c r="E203" s="69"/>
      <c r="F203" s="64" t="str">
        <f t="shared" si="10"/>
        <v/>
      </c>
      <c r="G203" s="68"/>
      <c r="H203" s="69"/>
      <c r="I203" s="64" t="str">
        <f t="shared" si="11"/>
        <v/>
      </c>
    </row>
    <row r="204" spans="1:9">
      <c r="A204" s="90"/>
      <c r="B204" s="91"/>
      <c r="C204" s="64" t="str">
        <f t="shared" si="9"/>
        <v/>
      </c>
      <c r="D204" s="68"/>
      <c r="E204" s="69"/>
      <c r="F204" s="64" t="str">
        <f t="shared" si="10"/>
        <v/>
      </c>
      <c r="G204" s="68"/>
      <c r="H204" s="69"/>
      <c r="I204" s="64" t="str">
        <f t="shared" si="11"/>
        <v/>
      </c>
    </row>
    <row r="205" spans="1:9">
      <c r="A205" s="90"/>
      <c r="B205" s="91"/>
      <c r="C205" s="64" t="str">
        <f t="shared" si="9"/>
        <v/>
      </c>
      <c r="D205" s="68"/>
      <c r="E205" s="69"/>
      <c r="F205" s="64" t="str">
        <f t="shared" si="10"/>
        <v/>
      </c>
      <c r="G205" s="68"/>
      <c r="H205" s="69"/>
      <c r="I205" s="64" t="str">
        <f t="shared" si="11"/>
        <v/>
      </c>
    </row>
    <row r="206" spans="1:9">
      <c r="A206" s="90"/>
      <c r="B206" s="91"/>
      <c r="C206" s="64" t="str">
        <f t="shared" si="9"/>
        <v/>
      </c>
      <c r="D206" s="68"/>
      <c r="E206" s="69"/>
      <c r="F206" s="64" t="str">
        <f t="shared" si="10"/>
        <v/>
      </c>
      <c r="G206" s="68"/>
      <c r="H206" s="69"/>
      <c r="I206" s="64" t="str">
        <f t="shared" si="11"/>
        <v/>
      </c>
    </row>
    <row r="207" spans="1:9">
      <c r="A207" s="90"/>
      <c r="B207" s="91"/>
      <c r="C207" s="64" t="str">
        <f t="shared" si="9"/>
        <v/>
      </c>
      <c r="D207" s="68"/>
      <c r="E207" s="69"/>
      <c r="F207" s="64" t="str">
        <f t="shared" si="10"/>
        <v/>
      </c>
      <c r="G207" s="68"/>
      <c r="H207" s="69"/>
      <c r="I207" s="64" t="str">
        <f t="shared" si="11"/>
        <v/>
      </c>
    </row>
    <row r="208" spans="1:9">
      <c r="A208" s="90"/>
      <c r="B208" s="91"/>
      <c r="C208" s="64" t="str">
        <f t="shared" si="9"/>
        <v/>
      </c>
      <c r="D208" s="68"/>
      <c r="E208" s="69"/>
      <c r="F208" s="64" t="str">
        <f t="shared" si="10"/>
        <v/>
      </c>
      <c r="G208" s="68"/>
      <c r="H208" s="69"/>
      <c r="I208" s="64" t="str">
        <f t="shared" si="11"/>
        <v/>
      </c>
    </row>
    <row r="209" spans="1:9">
      <c r="A209" s="90"/>
      <c r="B209" s="91"/>
      <c r="C209" s="64" t="str">
        <f t="shared" si="9"/>
        <v/>
      </c>
      <c r="D209" s="68"/>
      <c r="E209" s="69"/>
      <c r="F209" s="64" t="str">
        <f t="shared" si="10"/>
        <v/>
      </c>
      <c r="G209" s="68"/>
      <c r="H209" s="69"/>
      <c r="I209" s="64" t="str">
        <f t="shared" si="11"/>
        <v/>
      </c>
    </row>
    <row r="210" spans="1:9">
      <c r="A210" s="90"/>
      <c r="B210" s="91"/>
      <c r="C210" s="64" t="str">
        <f t="shared" si="9"/>
        <v/>
      </c>
      <c r="D210" s="68"/>
      <c r="E210" s="69"/>
      <c r="F210" s="64" t="str">
        <f t="shared" si="10"/>
        <v/>
      </c>
      <c r="G210" s="68"/>
      <c r="H210" s="69"/>
      <c r="I210" s="64" t="str">
        <f t="shared" si="11"/>
        <v/>
      </c>
    </row>
    <row r="211" spans="1:9">
      <c r="A211" s="90"/>
      <c r="B211" s="91"/>
      <c r="C211" s="64" t="str">
        <f t="shared" si="9"/>
        <v/>
      </c>
      <c r="D211" s="68"/>
      <c r="E211" s="69"/>
      <c r="F211" s="64" t="str">
        <f t="shared" si="10"/>
        <v/>
      </c>
      <c r="G211" s="68"/>
      <c r="H211" s="69"/>
      <c r="I211" s="64" t="str">
        <f t="shared" si="11"/>
        <v/>
      </c>
    </row>
    <row r="212" spans="1:9">
      <c r="A212" s="90"/>
      <c r="B212" s="91"/>
      <c r="C212" s="64" t="str">
        <f t="shared" si="9"/>
        <v/>
      </c>
      <c r="D212" s="68"/>
      <c r="E212" s="69"/>
      <c r="F212" s="64" t="str">
        <f t="shared" si="10"/>
        <v/>
      </c>
      <c r="G212" s="68"/>
      <c r="H212" s="69"/>
      <c r="I212" s="64" t="str">
        <f t="shared" si="11"/>
        <v/>
      </c>
    </row>
    <row r="213" spans="1:9">
      <c r="A213" s="90"/>
      <c r="B213" s="91"/>
      <c r="C213" s="64" t="str">
        <f t="shared" si="9"/>
        <v/>
      </c>
      <c r="D213" s="68"/>
      <c r="E213" s="69"/>
      <c r="F213" s="64" t="str">
        <f t="shared" si="10"/>
        <v/>
      </c>
      <c r="G213" s="68"/>
      <c r="H213" s="69"/>
      <c r="I213" s="64" t="str">
        <f t="shared" si="11"/>
        <v/>
      </c>
    </row>
    <row r="214" spans="1:9">
      <c r="A214" s="90"/>
      <c r="B214" s="91"/>
      <c r="C214" s="64" t="str">
        <f t="shared" si="9"/>
        <v/>
      </c>
      <c r="D214" s="68"/>
      <c r="E214" s="69"/>
      <c r="F214" s="64" t="str">
        <f t="shared" si="10"/>
        <v/>
      </c>
      <c r="G214" s="68"/>
      <c r="H214" s="69"/>
      <c r="I214" s="64" t="str">
        <f t="shared" si="11"/>
        <v/>
      </c>
    </row>
    <row r="215" spans="1:9">
      <c r="A215" s="90"/>
      <c r="B215" s="91"/>
      <c r="C215" s="64" t="str">
        <f t="shared" si="9"/>
        <v/>
      </c>
      <c r="D215" s="68"/>
      <c r="E215" s="69"/>
      <c r="F215" s="64" t="str">
        <f t="shared" si="10"/>
        <v/>
      </c>
      <c r="G215" s="68"/>
      <c r="H215" s="69"/>
      <c r="I215" s="64" t="str">
        <f t="shared" si="11"/>
        <v/>
      </c>
    </row>
    <row r="216" spans="1:9">
      <c r="A216" s="90"/>
      <c r="B216" s="91"/>
      <c r="C216" s="64" t="str">
        <f t="shared" si="9"/>
        <v/>
      </c>
      <c r="D216" s="68"/>
      <c r="E216" s="69"/>
      <c r="F216" s="64" t="str">
        <f t="shared" si="10"/>
        <v/>
      </c>
      <c r="G216" s="68"/>
      <c r="H216" s="69"/>
      <c r="I216" s="64" t="str">
        <f t="shared" si="11"/>
        <v/>
      </c>
    </row>
    <row r="217" spans="1:9">
      <c r="A217" s="90"/>
      <c r="B217" s="91"/>
      <c r="C217" s="64" t="str">
        <f t="shared" si="9"/>
        <v/>
      </c>
      <c r="D217" s="68"/>
      <c r="E217" s="69"/>
      <c r="F217" s="64" t="str">
        <f t="shared" si="10"/>
        <v/>
      </c>
      <c r="G217" s="68"/>
      <c r="H217" s="69"/>
      <c r="I217" s="64" t="str">
        <f t="shared" si="11"/>
        <v/>
      </c>
    </row>
    <row r="218" spans="1:9">
      <c r="A218" s="90"/>
      <c r="B218" s="91"/>
      <c r="C218" s="64" t="str">
        <f t="shared" si="9"/>
        <v/>
      </c>
      <c r="D218" s="68"/>
      <c r="E218" s="69"/>
      <c r="F218" s="64" t="str">
        <f t="shared" si="10"/>
        <v/>
      </c>
      <c r="G218" s="68"/>
      <c r="H218" s="69"/>
      <c r="I218" s="64" t="str">
        <f t="shared" si="11"/>
        <v/>
      </c>
    </row>
    <row r="219" spans="1:9">
      <c r="A219" s="90"/>
      <c r="B219" s="91"/>
      <c r="C219" s="64" t="str">
        <f t="shared" si="9"/>
        <v/>
      </c>
      <c r="D219" s="68"/>
      <c r="E219" s="69"/>
      <c r="F219" s="64" t="str">
        <f t="shared" si="10"/>
        <v/>
      </c>
      <c r="G219" s="68"/>
      <c r="H219" s="69"/>
      <c r="I219" s="64" t="str">
        <f t="shared" si="11"/>
        <v/>
      </c>
    </row>
    <row r="220" spans="1:9">
      <c r="A220" s="90"/>
      <c r="B220" s="91"/>
      <c r="C220" s="64" t="str">
        <f t="shared" si="9"/>
        <v/>
      </c>
      <c r="D220" s="68"/>
      <c r="E220" s="69"/>
      <c r="F220" s="64" t="str">
        <f t="shared" si="10"/>
        <v/>
      </c>
      <c r="G220" s="68"/>
      <c r="H220" s="69"/>
      <c r="I220" s="64" t="str">
        <f t="shared" si="11"/>
        <v/>
      </c>
    </row>
    <row r="221" spans="1:9">
      <c r="A221" s="90"/>
      <c r="B221" s="91"/>
      <c r="C221" s="64" t="str">
        <f t="shared" si="9"/>
        <v/>
      </c>
      <c r="D221" s="68"/>
      <c r="E221" s="69"/>
      <c r="F221" s="64" t="str">
        <f t="shared" si="10"/>
        <v/>
      </c>
      <c r="G221" s="68"/>
      <c r="H221" s="69"/>
      <c r="I221" s="64" t="str">
        <f t="shared" si="11"/>
        <v/>
      </c>
    </row>
    <row r="222" spans="1:9">
      <c r="A222" s="90"/>
      <c r="B222" s="91"/>
      <c r="C222" s="64" t="str">
        <f t="shared" si="9"/>
        <v/>
      </c>
      <c r="D222" s="68"/>
      <c r="E222" s="69"/>
      <c r="F222" s="64" t="str">
        <f t="shared" si="10"/>
        <v/>
      </c>
      <c r="G222" s="68"/>
      <c r="H222" s="69"/>
      <c r="I222" s="64" t="str">
        <f t="shared" si="11"/>
        <v/>
      </c>
    </row>
    <row r="223" spans="1:9">
      <c r="A223" s="90"/>
      <c r="B223" s="91"/>
      <c r="C223" s="64" t="str">
        <f t="shared" si="9"/>
        <v/>
      </c>
      <c r="D223" s="68"/>
      <c r="E223" s="69"/>
      <c r="F223" s="64" t="str">
        <f t="shared" si="10"/>
        <v/>
      </c>
      <c r="G223" s="68"/>
      <c r="H223" s="69"/>
      <c r="I223" s="64" t="str">
        <f t="shared" si="11"/>
        <v/>
      </c>
    </row>
    <row r="224" spans="1:9">
      <c r="A224" s="90"/>
      <c r="B224" s="91"/>
      <c r="C224" s="64" t="str">
        <f t="shared" si="9"/>
        <v/>
      </c>
      <c r="D224" s="68"/>
      <c r="E224" s="69"/>
      <c r="F224" s="64" t="str">
        <f t="shared" si="10"/>
        <v/>
      </c>
      <c r="G224" s="68"/>
      <c r="H224" s="69"/>
      <c r="I224" s="64" t="str">
        <f t="shared" si="11"/>
        <v/>
      </c>
    </row>
    <row r="225" spans="1:9">
      <c r="A225" s="90"/>
      <c r="B225" s="91"/>
      <c r="C225" s="64" t="str">
        <f t="shared" si="9"/>
        <v/>
      </c>
      <c r="D225" s="68"/>
      <c r="E225" s="69"/>
      <c r="F225" s="64" t="str">
        <f t="shared" si="10"/>
        <v/>
      </c>
      <c r="G225" s="68"/>
      <c r="H225" s="69"/>
      <c r="I225" s="64" t="str">
        <f t="shared" si="11"/>
        <v/>
      </c>
    </row>
    <row r="226" spans="1:9">
      <c r="A226" s="90"/>
      <c r="B226" s="91"/>
      <c r="C226" s="64" t="str">
        <f t="shared" si="9"/>
        <v/>
      </c>
      <c r="D226" s="68"/>
      <c r="E226" s="69"/>
      <c r="F226" s="64" t="str">
        <f t="shared" si="10"/>
        <v/>
      </c>
      <c r="G226" s="68"/>
      <c r="H226" s="69"/>
      <c r="I226" s="64" t="str">
        <f t="shared" si="11"/>
        <v/>
      </c>
    </row>
    <row r="227" spans="1:9">
      <c r="A227" s="90"/>
      <c r="B227" s="91"/>
      <c r="C227" s="64" t="str">
        <f t="shared" si="9"/>
        <v/>
      </c>
      <c r="D227" s="68"/>
      <c r="E227" s="69"/>
      <c r="F227" s="64" t="str">
        <f t="shared" si="10"/>
        <v/>
      </c>
      <c r="G227" s="68"/>
      <c r="H227" s="69"/>
      <c r="I227" s="64" t="str">
        <f t="shared" si="11"/>
        <v/>
      </c>
    </row>
    <row r="228" spans="1:9">
      <c r="A228" s="90"/>
      <c r="B228" s="91"/>
      <c r="C228" s="64" t="str">
        <f t="shared" si="9"/>
        <v/>
      </c>
      <c r="D228" s="68"/>
      <c r="E228" s="69"/>
      <c r="F228" s="64" t="str">
        <f t="shared" si="10"/>
        <v/>
      </c>
      <c r="G228" s="68"/>
      <c r="H228" s="69"/>
      <c r="I228" s="64" t="str">
        <f t="shared" si="11"/>
        <v/>
      </c>
    </row>
    <row r="229" spans="1:9">
      <c r="A229" s="90"/>
      <c r="B229" s="91"/>
      <c r="C229" s="64" t="str">
        <f t="shared" si="9"/>
        <v/>
      </c>
      <c r="D229" s="68"/>
      <c r="E229" s="69"/>
      <c r="F229" s="64" t="str">
        <f t="shared" si="10"/>
        <v/>
      </c>
      <c r="G229" s="68"/>
      <c r="H229" s="69"/>
      <c r="I229" s="64" t="str">
        <f t="shared" si="11"/>
        <v/>
      </c>
    </row>
    <row r="230" spans="1:9">
      <c r="A230" s="90"/>
      <c r="B230" s="91"/>
      <c r="C230" s="64" t="str">
        <f t="shared" si="9"/>
        <v/>
      </c>
      <c r="D230" s="68"/>
      <c r="E230" s="69"/>
      <c r="F230" s="64" t="str">
        <f t="shared" si="10"/>
        <v/>
      </c>
      <c r="G230" s="68"/>
      <c r="H230" s="69"/>
      <c r="I230" s="64" t="str">
        <f t="shared" si="11"/>
        <v/>
      </c>
    </row>
    <row r="231" spans="1:9">
      <c r="A231" s="90"/>
      <c r="B231" s="91"/>
      <c r="C231" s="64" t="str">
        <f t="shared" si="9"/>
        <v/>
      </c>
      <c r="D231" s="68"/>
      <c r="E231" s="69"/>
      <c r="F231" s="64" t="str">
        <f t="shared" si="10"/>
        <v/>
      </c>
      <c r="G231" s="68"/>
      <c r="H231" s="69"/>
      <c r="I231" s="64" t="str">
        <f t="shared" si="11"/>
        <v/>
      </c>
    </row>
    <row r="232" spans="1:9">
      <c r="A232" s="90"/>
      <c r="B232" s="91"/>
      <c r="C232" s="64" t="str">
        <f t="shared" si="9"/>
        <v/>
      </c>
      <c r="D232" s="68"/>
      <c r="E232" s="69"/>
      <c r="F232" s="64" t="str">
        <f t="shared" si="10"/>
        <v/>
      </c>
      <c r="G232" s="68"/>
      <c r="H232" s="69"/>
      <c r="I232" s="64" t="str">
        <f t="shared" si="11"/>
        <v/>
      </c>
    </row>
    <row r="233" spans="1:9">
      <c r="A233" s="90"/>
      <c r="B233" s="91"/>
      <c r="C233" s="64" t="str">
        <f t="shared" si="9"/>
        <v/>
      </c>
      <c r="D233" s="68"/>
      <c r="E233" s="69"/>
      <c r="F233" s="64" t="str">
        <f t="shared" si="10"/>
        <v/>
      </c>
      <c r="G233" s="68"/>
      <c r="H233" s="69"/>
      <c r="I233" s="64" t="str">
        <f t="shared" si="11"/>
        <v/>
      </c>
    </row>
    <row r="234" spans="1:9">
      <c r="A234" s="90"/>
      <c r="B234" s="91"/>
      <c r="C234" s="64" t="str">
        <f t="shared" si="9"/>
        <v/>
      </c>
      <c r="D234" s="68"/>
      <c r="E234" s="69"/>
      <c r="F234" s="64" t="str">
        <f t="shared" si="10"/>
        <v/>
      </c>
      <c r="G234" s="68"/>
      <c r="H234" s="69"/>
      <c r="I234" s="64" t="str">
        <f t="shared" si="11"/>
        <v/>
      </c>
    </row>
    <row r="235" spans="1:9">
      <c r="A235" s="90"/>
      <c r="B235" s="91"/>
      <c r="C235" s="64" t="str">
        <f t="shared" si="9"/>
        <v/>
      </c>
      <c r="D235" s="68"/>
      <c r="E235" s="69"/>
      <c r="F235" s="64" t="str">
        <f t="shared" si="10"/>
        <v/>
      </c>
      <c r="G235" s="68"/>
      <c r="H235" s="69"/>
      <c r="I235" s="64" t="str">
        <f t="shared" si="11"/>
        <v/>
      </c>
    </row>
    <row r="236" spans="1:9">
      <c r="A236" s="90"/>
      <c r="B236" s="91"/>
      <c r="C236" s="64" t="str">
        <f t="shared" si="9"/>
        <v/>
      </c>
      <c r="D236" s="68"/>
      <c r="E236" s="69"/>
      <c r="F236" s="64" t="str">
        <f t="shared" si="10"/>
        <v/>
      </c>
      <c r="G236" s="68"/>
      <c r="H236" s="69"/>
      <c r="I236" s="64" t="str">
        <f t="shared" si="11"/>
        <v/>
      </c>
    </row>
    <row r="237" spans="1:9">
      <c r="A237" s="90"/>
      <c r="B237" s="91"/>
      <c r="C237" s="64" t="str">
        <f t="shared" si="9"/>
        <v/>
      </c>
      <c r="D237" s="68"/>
      <c r="E237" s="69"/>
      <c r="F237" s="64" t="str">
        <f t="shared" si="10"/>
        <v/>
      </c>
      <c r="G237" s="68"/>
      <c r="H237" s="69"/>
      <c r="I237" s="64" t="str">
        <f t="shared" si="11"/>
        <v/>
      </c>
    </row>
    <row r="238" spans="1:9">
      <c r="A238" s="90"/>
      <c r="B238" s="91"/>
      <c r="C238" s="64" t="str">
        <f t="shared" si="9"/>
        <v/>
      </c>
      <c r="D238" s="68"/>
      <c r="E238" s="69"/>
      <c r="F238" s="64" t="str">
        <f t="shared" si="10"/>
        <v/>
      </c>
      <c r="G238" s="68"/>
      <c r="H238" s="69"/>
      <c r="I238" s="64" t="str">
        <f t="shared" si="11"/>
        <v/>
      </c>
    </row>
    <row r="239" spans="1:9">
      <c r="A239" s="90"/>
      <c r="B239" s="91"/>
      <c r="C239" s="64" t="str">
        <f t="shared" si="9"/>
        <v/>
      </c>
      <c r="D239" s="68"/>
      <c r="E239" s="69"/>
      <c r="F239" s="64" t="str">
        <f t="shared" si="10"/>
        <v/>
      </c>
      <c r="G239" s="68"/>
      <c r="H239" s="69"/>
      <c r="I239" s="64" t="str">
        <f t="shared" si="11"/>
        <v/>
      </c>
    </row>
    <row r="240" spans="1:9">
      <c r="A240" s="90"/>
      <c r="B240" s="91"/>
      <c r="C240" s="64" t="str">
        <f t="shared" si="9"/>
        <v/>
      </c>
      <c r="D240" s="68"/>
      <c r="E240" s="69"/>
      <c r="F240" s="64" t="str">
        <f t="shared" si="10"/>
        <v/>
      </c>
      <c r="G240" s="68"/>
      <c r="H240" s="69"/>
      <c r="I240" s="64" t="str">
        <f t="shared" si="11"/>
        <v/>
      </c>
    </row>
    <row r="241" spans="1:9">
      <c r="A241" s="90"/>
      <c r="B241" s="91"/>
      <c r="C241" s="64" t="str">
        <f t="shared" si="9"/>
        <v/>
      </c>
      <c r="D241" s="68"/>
      <c r="E241" s="69"/>
      <c r="F241" s="64" t="str">
        <f t="shared" si="10"/>
        <v/>
      </c>
      <c r="G241" s="68"/>
      <c r="H241" s="69"/>
      <c r="I241" s="64" t="str">
        <f t="shared" si="11"/>
        <v/>
      </c>
    </row>
    <row r="242" spans="1:9">
      <c r="A242" s="68"/>
      <c r="B242" s="69"/>
      <c r="C242" s="64" t="str">
        <f t="shared" si="9"/>
        <v/>
      </c>
      <c r="D242" s="68"/>
      <c r="E242" s="69"/>
      <c r="F242" s="64" t="str">
        <f t="shared" si="10"/>
        <v/>
      </c>
      <c r="G242" s="68"/>
      <c r="H242" s="69"/>
      <c r="I242" s="64" t="str">
        <f t="shared" si="11"/>
        <v/>
      </c>
    </row>
    <row r="243" spans="1:9">
      <c r="A243" s="68"/>
      <c r="B243" s="69"/>
      <c r="C243" s="64" t="str">
        <f t="shared" si="9"/>
        <v/>
      </c>
      <c r="D243" s="68"/>
      <c r="E243" s="69"/>
      <c r="F243" s="64" t="str">
        <f t="shared" si="10"/>
        <v/>
      </c>
      <c r="G243" s="68"/>
      <c r="H243" s="69"/>
      <c r="I243" s="64" t="str">
        <f t="shared" si="11"/>
        <v/>
      </c>
    </row>
    <row r="244" spans="1:9">
      <c r="A244" s="68"/>
      <c r="B244" s="69"/>
      <c r="C244" s="64" t="str">
        <f t="shared" si="9"/>
        <v/>
      </c>
      <c r="D244" s="68"/>
      <c r="E244" s="69"/>
      <c r="F244" s="64" t="str">
        <f t="shared" si="10"/>
        <v/>
      </c>
      <c r="G244" s="68"/>
      <c r="H244" s="69"/>
      <c r="I244" s="64" t="str">
        <f t="shared" si="11"/>
        <v/>
      </c>
    </row>
    <row r="245" spans="1:9">
      <c r="A245" s="68"/>
      <c r="B245" s="69"/>
      <c r="C245" s="64" t="str">
        <f t="shared" si="9"/>
        <v/>
      </c>
      <c r="D245" s="68"/>
      <c r="E245" s="69"/>
      <c r="F245" s="64" t="str">
        <f t="shared" si="10"/>
        <v/>
      </c>
      <c r="G245" s="68"/>
      <c r="H245" s="69"/>
      <c r="I245" s="64" t="str">
        <f t="shared" si="11"/>
        <v/>
      </c>
    </row>
    <row r="246" spans="1:9">
      <c r="A246" s="68"/>
      <c r="B246" s="69"/>
      <c r="C246" s="64" t="str">
        <f t="shared" si="9"/>
        <v/>
      </c>
      <c r="D246" s="68"/>
      <c r="E246" s="69"/>
      <c r="F246" s="64" t="str">
        <f t="shared" si="10"/>
        <v/>
      </c>
      <c r="G246" s="68"/>
      <c r="H246" s="69"/>
      <c r="I246" s="64" t="str">
        <f t="shared" si="11"/>
        <v/>
      </c>
    </row>
    <row r="247" spans="1:9">
      <c r="A247" s="68"/>
      <c r="B247" s="69"/>
      <c r="C247" s="64" t="str">
        <f t="shared" si="9"/>
        <v/>
      </c>
      <c r="D247" s="68"/>
      <c r="E247" s="69"/>
      <c r="F247" s="64" t="str">
        <f t="shared" si="10"/>
        <v/>
      </c>
      <c r="G247" s="68"/>
      <c r="H247" s="69"/>
      <c r="I247" s="64" t="str">
        <f t="shared" si="11"/>
        <v/>
      </c>
    </row>
    <row r="248" spans="1:9">
      <c r="A248" s="68"/>
      <c r="B248" s="69"/>
      <c r="C248" s="64" t="str">
        <f t="shared" si="9"/>
        <v/>
      </c>
      <c r="D248" s="68"/>
      <c r="E248" s="69"/>
      <c r="F248" s="64" t="str">
        <f t="shared" si="10"/>
        <v/>
      </c>
      <c r="G248" s="68"/>
      <c r="H248" s="69"/>
      <c r="I248" s="64" t="str">
        <f t="shared" si="11"/>
        <v/>
      </c>
    </row>
    <row r="249" spans="1:9">
      <c r="A249" s="68"/>
      <c r="B249" s="69"/>
      <c r="C249" s="64" t="str">
        <f t="shared" si="9"/>
        <v/>
      </c>
      <c r="D249" s="68"/>
      <c r="E249" s="69"/>
      <c r="F249" s="64" t="str">
        <f t="shared" si="10"/>
        <v/>
      </c>
      <c r="G249" s="68"/>
      <c r="H249" s="69"/>
      <c r="I249" s="64" t="str">
        <f t="shared" si="11"/>
        <v/>
      </c>
    </row>
    <row r="250" spans="1:9">
      <c r="A250" s="68"/>
      <c r="B250" s="69"/>
      <c r="C250" s="64" t="str">
        <f t="shared" si="9"/>
        <v/>
      </c>
      <c r="D250" s="68"/>
      <c r="E250" s="69"/>
      <c r="F250" s="64" t="str">
        <f t="shared" si="10"/>
        <v/>
      </c>
      <c r="G250" s="68"/>
      <c r="H250" s="69"/>
      <c r="I250" s="64" t="str">
        <f t="shared" si="11"/>
        <v/>
      </c>
    </row>
    <row r="251" spans="1:9">
      <c r="A251" s="68"/>
      <c r="B251" s="69"/>
      <c r="C251" s="64" t="str">
        <f t="shared" si="9"/>
        <v/>
      </c>
      <c r="D251" s="68"/>
      <c r="E251" s="69"/>
      <c r="F251" s="64" t="str">
        <f t="shared" si="10"/>
        <v/>
      </c>
      <c r="G251" s="68"/>
      <c r="H251" s="69"/>
      <c r="I251" s="64" t="str">
        <f t="shared" si="11"/>
        <v/>
      </c>
    </row>
    <row r="252" spans="1:9">
      <c r="A252" s="68"/>
      <c r="B252" s="69"/>
      <c r="C252" s="64" t="str">
        <f t="shared" si="9"/>
        <v/>
      </c>
      <c r="D252" s="68"/>
      <c r="E252" s="69"/>
      <c r="F252" s="64" t="str">
        <f t="shared" si="10"/>
        <v/>
      </c>
      <c r="G252" s="68"/>
      <c r="H252" s="69"/>
      <c r="I252" s="64" t="str">
        <f t="shared" si="11"/>
        <v/>
      </c>
    </row>
    <row r="253" spans="1:9">
      <c r="A253" s="68"/>
      <c r="B253" s="69"/>
      <c r="C253" s="64" t="str">
        <f t="shared" si="9"/>
        <v/>
      </c>
      <c r="D253" s="68"/>
      <c r="E253" s="69"/>
      <c r="F253" s="64" t="str">
        <f t="shared" si="10"/>
        <v/>
      </c>
      <c r="G253" s="68"/>
      <c r="H253" s="69"/>
      <c r="I253" s="64" t="str">
        <f t="shared" si="11"/>
        <v/>
      </c>
    </row>
    <row r="254" spans="1:9">
      <c r="A254" s="68"/>
      <c r="B254" s="69"/>
      <c r="C254" s="64" t="str">
        <f t="shared" si="9"/>
        <v/>
      </c>
      <c r="D254" s="68"/>
      <c r="E254" s="69"/>
      <c r="F254" s="64" t="str">
        <f t="shared" si="10"/>
        <v/>
      </c>
      <c r="G254" s="68"/>
      <c r="H254" s="69"/>
      <c r="I254" s="64" t="str">
        <f t="shared" si="11"/>
        <v/>
      </c>
    </row>
    <row r="255" spans="1:9">
      <c r="A255" s="68"/>
      <c r="B255" s="69"/>
      <c r="C255" s="64" t="str">
        <f t="shared" si="9"/>
        <v/>
      </c>
      <c r="D255" s="68"/>
      <c r="E255" s="69"/>
      <c r="F255" s="64" t="str">
        <f t="shared" si="10"/>
        <v/>
      </c>
      <c r="G255" s="68"/>
      <c r="H255" s="69"/>
      <c r="I255" s="64" t="str">
        <f t="shared" si="11"/>
        <v/>
      </c>
    </row>
    <row r="256" spans="1:9">
      <c r="A256" s="68"/>
      <c r="B256" s="69"/>
      <c r="C256" s="64" t="str">
        <f t="shared" si="9"/>
        <v/>
      </c>
      <c r="D256" s="68"/>
      <c r="E256" s="69"/>
      <c r="F256" s="64" t="str">
        <f t="shared" si="10"/>
        <v/>
      </c>
      <c r="G256" s="68"/>
      <c r="H256" s="69"/>
      <c r="I256" s="64" t="str">
        <f t="shared" si="11"/>
        <v/>
      </c>
    </row>
    <row r="257" spans="1:9">
      <c r="A257" s="68"/>
      <c r="B257" s="69"/>
      <c r="C257" s="64" t="str">
        <f t="shared" si="9"/>
        <v/>
      </c>
      <c r="D257" s="68"/>
      <c r="E257" s="69"/>
      <c r="F257" s="64" t="str">
        <f t="shared" si="10"/>
        <v/>
      </c>
      <c r="G257" s="68"/>
      <c r="H257" s="69"/>
      <c r="I257" s="64" t="str">
        <f t="shared" si="11"/>
        <v/>
      </c>
    </row>
    <row r="258" spans="1:9">
      <c r="A258" s="68"/>
      <c r="B258" s="69"/>
      <c r="C258" s="64" t="str">
        <f t="shared" si="9"/>
        <v/>
      </c>
      <c r="D258" s="68"/>
      <c r="E258" s="69"/>
      <c r="F258" s="64" t="str">
        <f t="shared" si="10"/>
        <v/>
      </c>
      <c r="G258" s="68"/>
      <c r="H258" s="69"/>
      <c r="I258" s="64" t="str">
        <f t="shared" si="11"/>
        <v/>
      </c>
    </row>
    <row r="259" spans="1:9">
      <c r="A259" s="68"/>
      <c r="B259" s="69"/>
      <c r="C259" s="64" t="str">
        <f t="shared" si="9"/>
        <v/>
      </c>
      <c r="D259" s="68"/>
      <c r="E259" s="69"/>
      <c r="F259" s="64" t="str">
        <f t="shared" si="10"/>
        <v/>
      </c>
      <c r="G259" s="68"/>
      <c r="H259" s="69"/>
      <c r="I259" s="64" t="str">
        <f t="shared" si="11"/>
        <v/>
      </c>
    </row>
    <row r="260" spans="1:9">
      <c r="A260" s="68"/>
      <c r="B260" s="69"/>
      <c r="C260" s="64" t="str">
        <f t="shared" si="9"/>
        <v/>
      </c>
      <c r="D260" s="68"/>
      <c r="E260" s="69"/>
      <c r="F260" s="64" t="str">
        <f t="shared" si="10"/>
        <v/>
      </c>
      <c r="G260" s="68"/>
      <c r="H260" s="69"/>
      <c r="I260" s="64" t="str">
        <f t="shared" si="11"/>
        <v/>
      </c>
    </row>
    <row r="261" spans="1:9">
      <c r="A261" s="68"/>
      <c r="B261" s="69"/>
      <c r="C261" s="64" t="str">
        <f t="shared" ref="C261:C304" si="12">IF(B261&gt;0,TEXT(B261,"(aaa)"),"")</f>
        <v/>
      </c>
      <c r="D261" s="68"/>
      <c r="E261" s="69"/>
      <c r="F261" s="64" t="str">
        <f t="shared" ref="F261:F304" si="13">IF(E261&gt;0,TEXT(E261,"(aaa)"),"")</f>
        <v/>
      </c>
      <c r="G261" s="68"/>
      <c r="H261" s="69"/>
      <c r="I261" s="64" t="str">
        <f t="shared" ref="I261:I304" si="14">IF(H261&gt;0,TEXT(H261,"(aaa)"),"")</f>
        <v/>
      </c>
    </row>
    <row r="262" spans="1:9">
      <c r="A262" s="68"/>
      <c r="B262" s="69"/>
      <c r="C262" s="64" t="str">
        <f t="shared" si="12"/>
        <v/>
      </c>
      <c r="D262" s="68"/>
      <c r="E262" s="69"/>
      <c r="F262" s="64" t="str">
        <f t="shared" si="13"/>
        <v/>
      </c>
      <c r="G262" s="68"/>
      <c r="H262" s="69"/>
      <c r="I262" s="64" t="str">
        <f t="shared" si="14"/>
        <v/>
      </c>
    </row>
    <row r="263" spans="1:9">
      <c r="A263" s="68"/>
      <c r="B263" s="69"/>
      <c r="C263" s="64" t="str">
        <f t="shared" si="12"/>
        <v/>
      </c>
      <c r="D263" s="68"/>
      <c r="E263" s="69"/>
      <c r="F263" s="64" t="str">
        <f t="shared" si="13"/>
        <v/>
      </c>
      <c r="G263" s="68"/>
      <c r="H263" s="69"/>
      <c r="I263" s="64" t="str">
        <f t="shared" si="14"/>
        <v/>
      </c>
    </row>
    <row r="264" spans="1:9">
      <c r="A264" s="68"/>
      <c r="B264" s="69"/>
      <c r="C264" s="64" t="str">
        <f t="shared" si="12"/>
        <v/>
      </c>
      <c r="D264" s="68"/>
      <c r="E264" s="69"/>
      <c r="F264" s="64" t="str">
        <f t="shared" si="13"/>
        <v/>
      </c>
      <c r="G264" s="68"/>
      <c r="H264" s="69"/>
      <c r="I264" s="64" t="str">
        <f t="shared" si="14"/>
        <v/>
      </c>
    </row>
    <row r="265" spans="1:9">
      <c r="A265" s="68"/>
      <c r="B265" s="69"/>
      <c r="C265" s="64" t="str">
        <f t="shared" si="12"/>
        <v/>
      </c>
      <c r="D265" s="68"/>
      <c r="E265" s="69"/>
      <c r="F265" s="64" t="str">
        <f t="shared" si="13"/>
        <v/>
      </c>
      <c r="G265" s="68"/>
      <c r="H265" s="69"/>
      <c r="I265" s="64" t="str">
        <f t="shared" si="14"/>
        <v/>
      </c>
    </row>
    <row r="266" spans="1:9">
      <c r="A266" s="68"/>
      <c r="B266" s="69"/>
      <c r="C266" s="64" t="str">
        <f t="shared" si="12"/>
        <v/>
      </c>
      <c r="D266" s="68"/>
      <c r="E266" s="69"/>
      <c r="F266" s="64" t="str">
        <f t="shared" si="13"/>
        <v/>
      </c>
      <c r="G266" s="68"/>
      <c r="H266" s="69"/>
      <c r="I266" s="64" t="str">
        <f t="shared" si="14"/>
        <v/>
      </c>
    </row>
    <row r="267" spans="1:9">
      <c r="A267" s="68"/>
      <c r="B267" s="69"/>
      <c r="C267" s="64" t="str">
        <f t="shared" si="12"/>
        <v/>
      </c>
      <c r="D267" s="68"/>
      <c r="E267" s="69"/>
      <c r="F267" s="64" t="str">
        <f t="shared" si="13"/>
        <v/>
      </c>
      <c r="G267" s="68"/>
      <c r="H267" s="69"/>
      <c r="I267" s="64" t="str">
        <f t="shared" si="14"/>
        <v/>
      </c>
    </row>
    <row r="268" spans="1:9">
      <c r="A268" s="68"/>
      <c r="B268" s="69"/>
      <c r="C268" s="64" t="str">
        <f t="shared" si="12"/>
        <v/>
      </c>
      <c r="D268" s="68"/>
      <c r="E268" s="69"/>
      <c r="F268" s="64" t="str">
        <f t="shared" si="13"/>
        <v/>
      </c>
      <c r="G268" s="68"/>
      <c r="H268" s="69"/>
      <c r="I268" s="64" t="str">
        <f t="shared" si="14"/>
        <v/>
      </c>
    </row>
    <row r="269" spans="1:9">
      <c r="A269" s="68"/>
      <c r="B269" s="69"/>
      <c r="C269" s="64" t="str">
        <f t="shared" si="12"/>
        <v/>
      </c>
      <c r="D269" s="68"/>
      <c r="E269" s="69"/>
      <c r="F269" s="64" t="str">
        <f t="shared" si="13"/>
        <v/>
      </c>
      <c r="G269" s="68"/>
      <c r="H269" s="69"/>
      <c r="I269" s="64" t="str">
        <f t="shared" si="14"/>
        <v/>
      </c>
    </row>
    <row r="270" spans="1:9">
      <c r="A270" s="68"/>
      <c r="B270" s="69"/>
      <c r="C270" s="64" t="str">
        <f t="shared" si="12"/>
        <v/>
      </c>
      <c r="D270" s="68"/>
      <c r="E270" s="69"/>
      <c r="F270" s="64" t="str">
        <f t="shared" si="13"/>
        <v/>
      </c>
      <c r="G270" s="68"/>
      <c r="H270" s="69"/>
      <c r="I270" s="64" t="str">
        <f t="shared" si="14"/>
        <v/>
      </c>
    </row>
    <row r="271" spans="1:9">
      <c r="A271" s="68"/>
      <c r="B271" s="69"/>
      <c r="C271" s="64" t="str">
        <f t="shared" si="12"/>
        <v/>
      </c>
      <c r="D271" s="68"/>
      <c r="E271" s="69"/>
      <c r="F271" s="64" t="str">
        <f t="shared" si="13"/>
        <v/>
      </c>
      <c r="G271" s="68"/>
      <c r="H271" s="69"/>
      <c r="I271" s="64" t="str">
        <f t="shared" si="14"/>
        <v/>
      </c>
    </row>
    <row r="272" spans="1:9">
      <c r="A272" s="68"/>
      <c r="B272" s="69"/>
      <c r="C272" s="64" t="str">
        <f t="shared" si="12"/>
        <v/>
      </c>
      <c r="D272" s="68"/>
      <c r="E272" s="69"/>
      <c r="F272" s="64" t="str">
        <f t="shared" si="13"/>
        <v/>
      </c>
      <c r="G272" s="68"/>
      <c r="H272" s="69"/>
      <c r="I272" s="64" t="str">
        <f t="shared" si="14"/>
        <v/>
      </c>
    </row>
    <row r="273" spans="1:9">
      <c r="A273" s="68"/>
      <c r="B273" s="69"/>
      <c r="C273" s="64" t="str">
        <f t="shared" si="12"/>
        <v/>
      </c>
      <c r="D273" s="68"/>
      <c r="E273" s="69"/>
      <c r="F273" s="64" t="str">
        <f t="shared" si="13"/>
        <v/>
      </c>
      <c r="G273" s="68"/>
      <c r="H273" s="69"/>
      <c r="I273" s="64" t="str">
        <f t="shared" si="14"/>
        <v/>
      </c>
    </row>
    <row r="274" spans="1:9">
      <c r="A274" s="68"/>
      <c r="B274" s="69"/>
      <c r="C274" s="64" t="str">
        <f t="shared" si="12"/>
        <v/>
      </c>
      <c r="D274" s="68"/>
      <c r="E274" s="69"/>
      <c r="F274" s="64" t="str">
        <f t="shared" si="13"/>
        <v/>
      </c>
      <c r="G274" s="68"/>
      <c r="H274" s="69"/>
      <c r="I274" s="64" t="str">
        <f t="shared" si="14"/>
        <v/>
      </c>
    </row>
    <row r="275" spans="1:9">
      <c r="A275" s="68"/>
      <c r="B275" s="69"/>
      <c r="C275" s="64" t="str">
        <f t="shared" si="12"/>
        <v/>
      </c>
      <c r="D275" s="68"/>
      <c r="E275" s="69"/>
      <c r="F275" s="64" t="str">
        <f t="shared" si="13"/>
        <v/>
      </c>
      <c r="G275" s="68"/>
      <c r="H275" s="69"/>
      <c r="I275" s="64" t="str">
        <f t="shared" si="14"/>
        <v/>
      </c>
    </row>
    <row r="276" spans="1:9">
      <c r="A276" s="68"/>
      <c r="B276" s="69"/>
      <c r="C276" s="64" t="str">
        <f t="shared" si="12"/>
        <v/>
      </c>
      <c r="D276" s="68"/>
      <c r="E276" s="69"/>
      <c r="F276" s="64" t="str">
        <f t="shared" si="13"/>
        <v/>
      </c>
      <c r="G276" s="68"/>
      <c r="H276" s="69"/>
      <c r="I276" s="64" t="str">
        <f t="shared" si="14"/>
        <v/>
      </c>
    </row>
    <row r="277" spans="1:9">
      <c r="A277" s="68"/>
      <c r="B277" s="69"/>
      <c r="C277" s="64" t="str">
        <f t="shared" si="12"/>
        <v/>
      </c>
      <c r="D277" s="68"/>
      <c r="E277" s="69"/>
      <c r="F277" s="64" t="str">
        <f t="shared" si="13"/>
        <v/>
      </c>
      <c r="G277" s="68"/>
      <c r="H277" s="69"/>
      <c r="I277" s="64" t="str">
        <f t="shared" si="14"/>
        <v/>
      </c>
    </row>
    <row r="278" spans="1:9">
      <c r="A278" s="68"/>
      <c r="B278" s="69"/>
      <c r="C278" s="64" t="str">
        <f t="shared" si="12"/>
        <v/>
      </c>
      <c r="D278" s="68"/>
      <c r="E278" s="69"/>
      <c r="F278" s="64" t="str">
        <f t="shared" si="13"/>
        <v/>
      </c>
      <c r="G278" s="68"/>
      <c r="H278" s="69"/>
      <c r="I278" s="64" t="str">
        <f t="shared" si="14"/>
        <v/>
      </c>
    </row>
    <row r="279" spans="1:9">
      <c r="A279" s="68"/>
      <c r="B279" s="69"/>
      <c r="C279" s="64" t="str">
        <f t="shared" si="12"/>
        <v/>
      </c>
      <c r="D279" s="68"/>
      <c r="E279" s="69"/>
      <c r="F279" s="64" t="str">
        <f t="shared" si="13"/>
        <v/>
      </c>
      <c r="G279" s="68"/>
      <c r="H279" s="69"/>
      <c r="I279" s="64" t="str">
        <f t="shared" si="14"/>
        <v/>
      </c>
    </row>
    <row r="280" spans="1:9">
      <c r="A280" s="68"/>
      <c r="B280" s="69"/>
      <c r="C280" s="64" t="str">
        <f t="shared" si="12"/>
        <v/>
      </c>
      <c r="D280" s="68"/>
      <c r="E280" s="69"/>
      <c r="F280" s="64" t="str">
        <f t="shared" si="13"/>
        <v/>
      </c>
      <c r="G280" s="68"/>
      <c r="H280" s="69"/>
      <c r="I280" s="64" t="str">
        <f t="shared" si="14"/>
        <v/>
      </c>
    </row>
    <row r="281" spans="1:9">
      <c r="A281" s="68"/>
      <c r="B281" s="69"/>
      <c r="C281" s="64" t="str">
        <f t="shared" si="12"/>
        <v/>
      </c>
      <c r="D281" s="68"/>
      <c r="E281" s="69"/>
      <c r="F281" s="64" t="str">
        <f t="shared" si="13"/>
        <v/>
      </c>
      <c r="G281" s="68"/>
      <c r="H281" s="69"/>
      <c r="I281" s="64" t="str">
        <f t="shared" si="14"/>
        <v/>
      </c>
    </row>
    <row r="282" spans="1:9">
      <c r="A282" s="68"/>
      <c r="B282" s="69"/>
      <c r="C282" s="64" t="str">
        <f t="shared" si="12"/>
        <v/>
      </c>
      <c r="D282" s="68"/>
      <c r="E282" s="69"/>
      <c r="F282" s="64" t="str">
        <f t="shared" si="13"/>
        <v/>
      </c>
      <c r="G282" s="68"/>
      <c r="H282" s="69"/>
      <c r="I282" s="64" t="str">
        <f t="shared" si="14"/>
        <v/>
      </c>
    </row>
    <row r="283" spans="1:9">
      <c r="A283" s="68"/>
      <c r="B283" s="69"/>
      <c r="C283" s="64" t="str">
        <f t="shared" si="12"/>
        <v/>
      </c>
      <c r="D283" s="68"/>
      <c r="E283" s="69"/>
      <c r="F283" s="64" t="str">
        <f t="shared" si="13"/>
        <v/>
      </c>
      <c r="G283" s="68"/>
      <c r="H283" s="69"/>
      <c r="I283" s="64" t="str">
        <f t="shared" si="14"/>
        <v/>
      </c>
    </row>
    <row r="284" spans="1:9">
      <c r="A284" s="68"/>
      <c r="B284" s="69"/>
      <c r="C284" s="64" t="str">
        <f t="shared" si="12"/>
        <v/>
      </c>
      <c r="D284" s="68"/>
      <c r="E284" s="69"/>
      <c r="F284" s="64" t="str">
        <f t="shared" si="13"/>
        <v/>
      </c>
      <c r="G284" s="68"/>
      <c r="H284" s="69"/>
      <c r="I284" s="64" t="str">
        <f t="shared" si="14"/>
        <v/>
      </c>
    </row>
    <row r="285" spans="1:9">
      <c r="A285" s="68"/>
      <c r="B285" s="69"/>
      <c r="C285" s="64" t="str">
        <f t="shared" si="12"/>
        <v/>
      </c>
      <c r="D285" s="68"/>
      <c r="E285" s="69"/>
      <c r="F285" s="64" t="str">
        <f t="shared" si="13"/>
        <v/>
      </c>
      <c r="G285" s="68"/>
      <c r="H285" s="69"/>
      <c r="I285" s="64" t="str">
        <f t="shared" si="14"/>
        <v/>
      </c>
    </row>
    <row r="286" spans="1:9">
      <c r="A286" s="68"/>
      <c r="B286" s="69"/>
      <c r="C286" s="64" t="str">
        <f t="shared" si="12"/>
        <v/>
      </c>
      <c r="D286" s="68"/>
      <c r="E286" s="69"/>
      <c r="F286" s="64" t="str">
        <f t="shared" si="13"/>
        <v/>
      </c>
      <c r="G286" s="68"/>
      <c r="H286" s="69"/>
      <c r="I286" s="64" t="str">
        <f t="shared" si="14"/>
        <v/>
      </c>
    </row>
    <row r="287" spans="1:9">
      <c r="A287" s="68"/>
      <c r="B287" s="69"/>
      <c r="C287" s="64" t="str">
        <f t="shared" si="12"/>
        <v/>
      </c>
      <c r="D287" s="68"/>
      <c r="E287" s="69"/>
      <c r="F287" s="64" t="str">
        <f t="shared" si="13"/>
        <v/>
      </c>
      <c r="G287" s="68"/>
      <c r="H287" s="69"/>
      <c r="I287" s="64" t="str">
        <f t="shared" si="14"/>
        <v/>
      </c>
    </row>
    <row r="288" spans="1:9">
      <c r="A288" s="68"/>
      <c r="B288" s="69"/>
      <c r="C288" s="64" t="str">
        <f t="shared" si="12"/>
        <v/>
      </c>
      <c r="D288" s="68"/>
      <c r="E288" s="69"/>
      <c r="F288" s="64" t="str">
        <f t="shared" si="13"/>
        <v/>
      </c>
      <c r="G288" s="68"/>
      <c r="H288" s="69"/>
      <c r="I288" s="64" t="str">
        <f t="shared" si="14"/>
        <v/>
      </c>
    </row>
    <row r="289" spans="1:9">
      <c r="A289" s="68"/>
      <c r="B289" s="69"/>
      <c r="C289" s="64" t="str">
        <f t="shared" si="12"/>
        <v/>
      </c>
      <c r="D289" s="68"/>
      <c r="E289" s="69"/>
      <c r="F289" s="64" t="str">
        <f t="shared" si="13"/>
        <v/>
      </c>
      <c r="G289" s="68"/>
      <c r="H289" s="69"/>
      <c r="I289" s="64" t="str">
        <f t="shared" si="14"/>
        <v/>
      </c>
    </row>
    <row r="290" spans="1:9">
      <c r="A290" s="68"/>
      <c r="B290" s="69"/>
      <c r="C290" s="64" t="str">
        <f t="shared" si="12"/>
        <v/>
      </c>
      <c r="D290" s="68"/>
      <c r="E290" s="69"/>
      <c r="F290" s="64" t="str">
        <f t="shared" si="13"/>
        <v/>
      </c>
      <c r="G290" s="68"/>
      <c r="H290" s="69"/>
      <c r="I290" s="64" t="str">
        <f t="shared" si="14"/>
        <v/>
      </c>
    </row>
    <row r="291" spans="1:9">
      <c r="A291" s="68"/>
      <c r="B291" s="69"/>
      <c r="C291" s="64" t="str">
        <f t="shared" si="12"/>
        <v/>
      </c>
      <c r="D291" s="68"/>
      <c r="E291" s="69"/>
      <c r="F291" s="64" t="str">
        <f t="shared" si="13"/>
        <v/>
      </c>
      <c r="G291" s="68"/>
      <c r="H291" s="69"/>
      <c r="I291" s="64" t="str">
        <f t="shared" si="14"/>
        <v/>
      </c>
    </row>
    <row r="292" spans="1:9">
      <c r="A292" s="68"/>
      <c r="B292" s="69"/>
      <c r="C292" s="64" t="str">
        <f t="shared" si="12"/>
        <v/>
      </c>
      <c r="D292" s="68"/>
      <c r="E292" s="69"/>
      <c r="F292" s="64" t="str">
        <f t="shared" si="13"/>
        <v/>
      </c>
      <c r="G292" s="68"/>
      <c r="H292" s="69"/>
      <c r="I292" s="64" t="str">
        <f t="shared" si="14"/>
        <v/>
      </c>
    </row>
    <row r="293" spans="1:9">
      <c r="A293" s="68"/>
      <c r="B293" s="69"/>
      <c r="C293" s="64" t="str">
        <f t="shared" si="12"/>
        <v/>
      </c>
      <c r="D293" s="68"/>
      <c r="E293" s="69"/>
      <c r="F293" s="64" t="str">
        <f t="shared" si="13"/>
        <v/>
      </c>
      <c r="G293" s="68"/>
      <c r="H293" s="69"/>
      <c r="I293" s="64" t="str">
        <f t="shared" si="14"/>
        <v/>
      </c>
    </row>
    <row r="294" spans="1:9">
      <c r="A294" s="68"/>
      <c r="B294" s="69"/>
      <c r="C294" s="64" t="str">
        <f t="shared" si="12"/>
        <v/>
      </c>
      <c r="D294" s="68"/>
      <c r="E294" s="69"/>
      <c r="F294" s="64" t="str">
        <f t="shared" si="13"/>
        <v/>
      </c>
      <c r="G294" s="68"/>
      <c r="H294" s="69"/>
      <c r="I294" s="64" t="str">
        <f t="shared" si="14"/>
        <v/>
      </c>
    </row>
    <row r="295" spans="1:9">
      <c r="A295" s="68"/>
      <c r="B295" s="69"/>
      <c r="C295" s="64" t="str">
        <f t="shared" si="12"/>
        <v/>
      </c>
      <c r="D295" s="68"/>
      <c r="E295" s="69"/>
      <c r="F295" s="64" t="str">
        <f t="shared" si="13"/>
        <v/>
      </c>
      <c r="G295" s="68"/>
      <c r="H295" s="69"/>
      <c r="I295" s="64" t="str">
        <f t="shared" si="14"/>
        <v/>
      </c>
    </row>
    <row r="296" spans="1:9">
      <c r="A296" s="68"/>
      <c r="B296" s="69"/>
      <c r="C296" s="64" t="str">
        <f t="shared" si="12"/>
        <v/>
      </c>
      <c r="D296" s="68"/>
      <c r="E296" s="69"/>
      <c r="F296" s="64" t="str">
        <f t="shared" si="13"/>
        <v/>
      </c>
      <c r="G296" s="68"/>
      <c r="H296" s="69"/>
      <c r="I296" s="64" t="str">
        <f t="shared" si="14"/>
        <v/>
      </c>
    </row>
    <row r="297" spans="1:9">
      <c r="A297" s="68"/>
      <c r="B297" s="69"/>
      <c r="C297" s="64" t="str">
        <f t="shared" si="12"/>
        <v/>
      </c>
      <c r="D297" s="68"/>
      <c r="E297" s="69"/>
      <c r="F297" s="64" t="str">
        <f t="shared" si="13"/>
        <v/>
      </c>
      <c r="G297" s="68"/>
      <c r="H297" s="69"/>
      <c r="I297" s="64" t="str">
        <f t="shared" si="14"/>
        <v/>
      </c>
    </row>
    <row r="298" spans="1:9">
      <c r="A298" s="68"/>
      <c r="B298" s="69"/>
      <c r="C298" s="64" t="str">
        <f t="shared" si="12"/>
        <v/>
      </c>
      <c r="D298" s="68"/>
      <c r="E298" s="69"/>
      <c r="F298" s="64" t="str">
        <f t="shared" si="13"/>
        <v/>
      </c>
      <c r="G298" s="68"/>
      <c r="H298" s="69"/>
      <c r="I298" s="64" t="str">
        <f t="shared" si="14"/>
        <v/>
      </c>
    </row>
    <row r="299" spans="1:9">
      <c r="A299" s="68"/>
      <c r="B299" s="69"/>
      <c r="C299" s="64" t="str">
        <f t="shared" si="12"/>
        <v/>
      </c>
      <c r="D299" s="68"/>
      <c r="E299" s="69"/>
      <c r="F299" s="64" t="str">
        <f t="shared" si="13"/>
        <v/>
      </c>
      <c r="G299" s="68"/>
      <c r="H299" s="69"/>
      <c r="I299" s="64" t="str">
        <f t="shared" si="14"/>
        <v/>
      </c>
    </row>
    <row r="300" spans="1:9">
      <c r="A300" s="68"/>
      <c r="B300" s="69"/>
      <c r="C300" s="64" t="str">
        <f t="shared" si="12"/>
        <v/>
      </c>
      <c r="D300" s="68"/>
      <c r="E300" s="69"/>
      <c r="F300" s="64" t="str">
        <f t="shared" si="13"/>
        <v/>
      </c>
      <c r="G300" s="68"/>
      <c r="H300" s="69"/>
      <c r="I300" s="64" t="str">
        <f t="shared" si="14"/>
        <v/>
      </c>
    </row>
    <row r="301" spans="1:9">
      <c r="A301" s="68"/>
      <c r="B301" s="69"/>
      <c r="C301" s="64" t="str">
        <f t="shared" si="12"/>
        <v/>
      </c>
      <c r="D301" s="68"/>
      <c r="E301" s="69"/>
      <c r="F301" s="64" t="str">
        <f t="shared" si="13"/>
        <v/>
      </c>
      <c r="G301" s="68"/>
      <c r="H301" s="69"/>
      <c r="I301" s="64" t="str">
        <f t="shared" si="14"/>
        <v/>
      </c>
    </row>
    <row r="302" spans="1:9">
      <c r="A302" s="68"/>
      <c r="B302" s="71"/>
      <c r="C302" s="64" t="str">
        <f t="shared" si="12"/>
        <v/>
      </c>
      <c r="D302" s="68"/>
      <c r="E302" s="71"/>
      <c r="F302" s="64" t="str">
        <f t="shared" si="13"/>
        <v/>
      </c>
      <c r="G302" s="68"/>
      <c r="H302" s="71"/>
      <c r="I302" s="64" t="str">
        <f t="shared" si="14"/>
        <v/>
      </c>
    </row>
    <row r="303" spans="1:9">
      <c r="A303" s="68"/>
      <c r="B303" s="71"/>
      <c r="C303" s="64" t="str">
        <f t="shared" si="12"/>
        <v/>
      </c>
      <c r="D303" s="68"/>
      <c r="E303" s="71"/>
      <c r="F303" s="64" t="str">
        <f t="shared" si="13"/>
        <v/>
      </c>
      <c r="G303" s="68"/>
      <c r="H303" s="71"/>
      <c r="I303" s="64" t="str">
        <f t="shared" si="14"/>
        <v/>
      </c>
    </row>
    <row r="304" spans="1:9">
      <c r="A304" s="68"/>
      <c r="B304" s="71"/>
      <c r="C304" s="64" t="str">
        <f t="shared" si="12"/>
        <v/>
      </c>
      <c r="D304" s="68"/>
      <c r="E304" s="71"/>
      <c r="F304" s="64" t="str">
        <f t="shared" si="13"/>
        <v/>
      </c>
      <c r="G304" s="68"/>
      <c r="H304" s="71"/>
      <c r="I304" s="64" t="str">
        <f t="shared" si="14"/>
        <v/>
      </c>
    </row>
    <row r="305" spans="1:7">
      <c r="A305" s="64" t="s">
        <v>1144</v>
      </c>
      <c r="D305" s="64" t="s">
        <v>1144</v>
      </c>
      <c r="G305" s="64" t="s">
        <v>1144</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이름이 지정된 범위</vt:lpstr>
      </vt:variant>
      <vt:variant>
        <vt:i4>33</vt:i4>
      </vt:variant>
    </vt:vector>
  </HeadingPairs>
  <TitlesOfParts>
    <vt:vector size="38" baseType="lpstr">
      <vt:lpstr>TranslatedLanguages</vt:lpstr>
      <vt:lpstr>Schedule</vt:lpstr>
      <vt:lpstr>Progress</vt:lpstr>
      <vt:lpstr>AnalysisReport</vt:lpstr>
      <vt:lpstr>Calendar</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Windows 사용자</dc:creator>
  <cp:keywords/>
  <dc:description/>
  <cp:lastModifiedBy>Admin</cp:lastModifiedBy>
  <cp:revision/>
  <dcterms:created xsi:type="dcterms:W3CDTF">2018-02-18T09:45:14Z</dcterms:created>
  <dcterms:modified xsi:type="dcterms:W3CDTF">2022-12-13T06:45:03Z</dcterms:modified>
  <cp:category/>
  <cp:contentStatus/>
</cp:coreProperties>
</file>