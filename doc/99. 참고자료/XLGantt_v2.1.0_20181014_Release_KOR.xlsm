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af2455916749499e" Type="http://schemas.microsoft.com/office/2006/relationships/ui/extensibility" Target="customUI/customUI.xml"/><Relationship Id="rId1" Type="http://schemas.openxmlformats.org/officeDocument/2006/relationships/officeDocument" Target="xl/workbook.xml"/><Relationship Id="rId4" Type="http://schemas.microsoft.com/office/2006/relationships/ui/userCustomization" Target="NUL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11" codeName="{00000000-0000-0000-0000-000000000000}"/>
  <workbookPr codeName="ThisWorkbook"/>
  <mc:AlternateContent xmlns:mc="http://schemas.openxmlformats.org/markup-compatibility/2006">
    <mc:Choice Requires="x15">
      <x15ac:absPath xmlns:x15ac="http://schemas.microsoft.com/office/spreadsheetml/2010/11/ac" url="C:\Users\thjung\Desktop\엑셀작업\@엑셀일정관리\@XLGantt\XLGantt.배포본\2018.10.14.배포본_3차_아마도2007에서안되는현상수정\KOR\"/>
    </mc:Choice>
  </mc:AlternateContent>
  <xr:revisionPtr revIDLastSave="0" documentId="11_012C52BC5EBAAED4CEAE4167AD91FDB279C4F204" xr6:coauthVersionLast="47" xr6:coauthVersionMax="47" xr10:uidLastSave="{00000000-0000-0000-0000-000000000000}"/>
  <bookViews>
    <workbookView xWindow="0" yWindow="0" windowWidth="19200" windowHeight="7125" tabRatio="535" firstSheet="3" activeTab="3" xr2:uid="{00000000-000D-0000-FFFF-FFFF00000000}"/>
  </bookViews>
  <sheets>
    <sheet name="Settings" sheetId="6" state="veryHidden" r:id="rId1"/>
    <sheet name="TranslatedLanguages" sheetId="7" state="hidden" r:id="rId2"/>
    <sheet name="Workload" sheetId="8" state="veryHidden" r:id="rId3"/>
    <sheet name="Schedule" sheetId="2" r:id="rId4"/>
    <sheet name="Progress" sheetId="3" r:id="rId5"/>
    <sheet name="AnalysisReport" sheetId="4" r:id="rId6"/>
    <sheet name="Calendar" sheetId="5" r:id="rId7"/>
  </sheets>
  <externalReferences>
    <externalReference r:id="rId8"/>
  </externalReferences>
  <definedNames>
    <definedName name="_xlnm._FilterDatabase" localSheetId="3" hidden="1">Schedule!$M$3:$AB$56</definedName>
    <definedName name="ACTUAL_RATE" localSheetId="2">[1]Progress!$B$21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2"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2">[1]Progress!$B$18</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2">[1]Schedule!#REF!</definedName>
    <definedName name="RNG_WBS_AREA_LAST_COL_NAME">Schedule!$AB$3</definedName>
    <definedName name="RNG_WBS_COL_NAME">Schedule!$D$3</definedName>
    <definedName name="RNG_WBS_LEVEL_COL_NAME">Schedule!$C$3</definedName>
    <definedName name="STD_CAL" localSheetId="2">[1]Calendar!$B$5:$B$304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3" hidden="1">Schedule!$E$4:$T$4</definedName>
    <definedName name="Z_0A64F8D9_59E4_4471_A54B_AB6085820F8B_.wvu.FilterData" localSheetId="3" hidden="1">Schedule!$E$4:$T$4</definedName>
    <definedName name="Z_0A64F8D9_59E4_4471_A54B_AB6085820F8B_.wvu.PrintArea" localSheetId="3" hidden="1">Schedule!$E$4:$AB$4</definedName>
    <definedName name="Z_0B810681_CC81_4141_9F16_24B3FD4F0FB8_.wvu.FilterData" localSheetId="3" hidden="1">Schedule!$E$4:$T$4</definedName>
    <definedName name="Z_0B810681_CC81_4141_9F16_24B3FD4F0FB8_.wvu.PrintArea" localSheetId="3" hidden="1">Schedule!$E$4:$AB$4</definedName>
    <definedName name="Z_45F170B6_3544_43F8_BFC7_D657B723AABC_.wvu.FilterData" localSheetId="3" hidden="1">Schedule!$E$4:$T$4</definedName>
    <definedName name="Z_45F170B6_3544_43F8_BFC7_D657B723AABC_.wvu.PrintArea" localSheetId="3" hidden="1">Schedule!$E$4:$AB$4</definedName>
    <definedName name="Z_6C04A49A_6140_42F5_B660_358F3428D555_.wvu.FilterData" localSheetId="3" hidden="1">Schedule!$E$4:$T$4</definedName>
    <definedName name="Z_6C04A49A_6140_42F5_B660_358F3428D555_.wvu.PrintArea" localSheetId="3" hidden="1">Schedule!$E$4:$AB$4</definedName>
    <definedName name="Z_717B341C_ADF7_4494_8FE3_F9159C14788B_.wvu.FilterData" localSheetId="3" hidden="1">Schedule!$E$4:$T$4</definedName>
    <definedName name="Z_96DEAA77_2828_4E97_975A_CF93EF5D9712_.wvu.FilterData" localSheetId="3" hidden="1">Schedule!$E$4:$T$4</definedName>
    <definedName name="Z_AF9F6769_16BA_4444_B539_537212F9672A_.wvu.FilterData" localSheetId="3" hidden="1">Schedule!$E$4:$T$4</definedName>
    <definedName name="Z_AF9F6769_16BA_4444_B539_537212F9672A_.wvu.PrintArea" localSheetId="3" hidden="1">Schedule!$E$4:$AB$4</definedName>
    <definedName name="Z_B0AA3114_3257_4D99_8E15_F0A183B56293_.wvu.FilterData" localSheetId="3" hidden="1">Schedule!$E$4:$T$4</definedName>
    <definedName name="Z_B4798534_C27D_422C_BD87_0A71D9C8BAA9_.wvu.FilterData" localSheetId="3" hidden="1">Schedule!$E$4:$T$4</definedName>
    <definedName name="Z_C7B87852_3417_4B82_AD8F_04929FC46960_.wvu.FilterData" localSheetId="3" hidden="1">Schedule!$E$4:$T$4</definedName>
    <definedName name="Z_CD147E05_78AB_4F1A_996E_7FAB0BB4629B_.wvu.FilterData" localSheetId="3" hidden="1">Schedule!$E$4:$T$4</definedName>
    <definedName name="Z_F8F33EAC_6737_4237_A48D_05833D89E8C9_.wvu.FilterData" localSheetId="3" hidden="1">Schedule!$E$4:$T$4</definedName>
    <definedName name="Z_F8F33EAC_6737_4237_A48D_05833D89E8C9_.wvu.PrintArea" localSheetId="3" hidden="1">Schedule!$E$4:$AB$4</definedName>
    <definedName name="Z_FA644498_2FA7_4E23_AA15_463455A1D2EE_.wvu.FilterData" localSheetId="3" hidden="1">Schedule!$E$4:$T$4</definedName>
  </definedNames>
  <calcPr calcId="152511" calcMode="manual" calcCompleted="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5" i="2" l="1"/>
  <c r="AY5" i="2"/>
  <c r="AF6" i="2"/>
  <c r="AC7" i="2"/>
  <c r="AF8" i="2"/>
  <c r="AD9" i="2"/>
  <c r="AF10" i="2"/>
  <c r="AF11" i="2"/>
  <c r="AT11" i="2"/>
  <c r="AF12" i="2"/>
  <c r="AK13" i="2"/>
  <c r="AP14" i="2"/>
  <c r="AT14" i="2"/>
  <c r="AF15" i="2"/>
  <c r="AU17" i="2"/>
  <c r="AY17" i="2"/>
  <c r="AU18" i="2"/>
  <c r="AV19" i="2"/>
  <c r="AY19" i="2"/>
  <c r="AX20" i="2"/>
  <c r="AX21" i="2"/>
  <c r="AE22" i="2"/>
  <c r="AU22" i="2"/>
  <c r="AE23" i="2"/>
  <c r="AE24" i="2"/>
  <c r="AE25" i="2"/>
  <c r="AE26" i="2"/>
  <c r="AE27" i="2"/>
  <c r="AG28" i="2"/>
  <c r="AL28" i="2"/>
  <c r="AG29" i="2"/>
  <c r="AG30" i="2"/>
  <c r="AK30" i="2"/>
  <c r="AG31" i="2"/>
  <c r="AH32" i="2"/>
  <c r="AH33" i="2"/>
  <c r="AK34" i="2"/>
  <c r="AK35" i="2"/>
  <c r="AU35" i="2"/>
  <c r="AK36" i="2"/>
  <c r="AT36" i="2"/>
  <c r="AK37" i="2"/>
  <c r="AK38" i="2"/>
  <c r="AT38" i="2"/>
  <c r="AK39" i="2"/>
  <c r="AK40" i="2"/>
  <c r="AL41" i="2"/>
  <c r="AL42" i="2"/>
  <c r="AK43" i="2"/>
  <c r="AT43" i="2"/>
  <c r="AK44" i="2"/>
  <c r="AT44" i="2"/>
  <c r="AM45" i="2"/>
  <c r="AT45" i="2"/>
  <c r="AQ46" i="2"/>
  <c r="AU46" i="2"/>
  <c r="AQ47" i="2"/>
  <c r="AT48" i="2"/>
  <c r="AT49" i="2"/>
  <c r="AT50" i="2"/>
  <c r="AT51" i="2"/>
  <c r="AU52" i="2"/>
  <c r="AU53" i="2"/>
  <c r="AU54" i="2"/>
  <c r="AU55" i="2"/>
  <c r="AU56" i="2"/>
  <c r="D29" i="4" l="1"/>
  <c r="E7" i="4"/>
  <c r="F7" i="4" s="1"/>
  <c r="H121" i="8"/>
  <c r="E8" i="4" l="1"/>
  <c r="F8" i="4" s="1"/>
  <c r="E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E10" i="4" l="1"/>
  <c r="F9" i="4"/>
  <c r="B24" i="3"/>
  <c r="AB1" i="2"/>
  <c r="AB2" i="2"/>
  <c r="D1" i="2"/>
  <c r="E11" i="4" l="1"/>
  <c r="F10" i="4"/>
  <c r="F11" i="4" l="1"/>
  <c r="E12" i="4"/>
  <c r="F12" i="4" l="1"/>
  <c r="E13" i="4"/>
  <c r="E14" i="4" l="1"/>
  <c r="F13" i="4"/>
  <c r="E15" i="4" l="1"/>
  <c r="F14" i="4"/>
  <c r="F15" i="4" l="1"/>
  <c r="E16" i="4"/>
  <c r="F16" i="4" l="1"/>
  <c r="E17" i="4"/>
  <c r="E18" i="4" l="1"/>
  <c r="F17" i="4"/>
  <c r="E19" i="4" l="1"/>
  <c r="F18" i="4"/>
  <c r="F19" i="4" l="1"/>
  <c r="E20" i="4"/>
  <c r="F20" i="4" l="1"/>
  <c r="E21" i="4"/>
  <c r="E22" i="4" l="1"/>
  <c r="F21" i="4"/>
  <c r="E23" i="4" l="1"/>
  <c r="F22" i="4"/>
  <c r="F23" i="4" l="1"/>
  <c r="E24" i="4"/>
  <c r="F24" i="4" l="1"/>
  <c r="E25" i="4"/>
  <c r="E26" i="4" l="1"/>
  <c r="F25" i="4"/>
  <c r="E27" i="4" l="1"/>
  <c r="F26" i="4"/>
  <c r="F27" i="4" l="1"/>
  <c r="E28" i="4"/>
  <c r="F28" i="4" s="1"/>
</calcChain>
</file>

<file path=xl/sharedStrings.xml><?xml version="1.0" encoding="utf-8"?>
<sst xmlns="http://schemas.openxmlformats.org/spreadsheetml/2006/main" count="1625" uniqueCount="1183">
  <si>
    <t>ITEM</t>
    <phoneticPr fontId="8" type="noConversion"/>
  </si>
  <si>
    <t>VALUE1</t>
    <phoneticPr fontId="8" type="noConversion"/>
  </si>
  <si>
    <t>VALUE2</t>
    <phoneticPr fontId="8" type="noConversion"/>
  </si>
  <si>
    <t>VALUE3</t>
  </si>
  <si>
    <t>INSERTED_DATE</t>
    <phoneticPr fontId="8" type="noConversion"/>
  </si>
  <si>
    <t>UPDATED_DATE</t>
    <phoneticPr fontId="8" type="noConversion"/>
  </si>
  <si>
    <t>COMPANY</t>
    <phoneticPr fontId="8" type="noConversion"/>
  </si>
  <si>
    <t>XLWorks</t>
    <phoneticPr fontId="8" type="noConversion"/>
  </si>
  <si>
    <t>DO NOT UPDATE</t>
    <phoneticPr fontId="8" type="noConversion"/>
  </si>
  <si>
    <t>AUTHOR_NAME</t>
    <phoneticPr fontId="8" type="noConversion"/>
  </si>
  <si>
    <t>AUTHOR_EMAIL</t>
    <phoneticPr fontId="8" type="noConversion"/>
  </si>
  <si>
    <t>admin@xlworks.net</t>
    <phoneticPr fontId="8" type="noConversion"/>
  </si>
  <si>
    <t>PROGRAM_NAME</t>
    <phoneticPr fontId="8" type="noConversion"/>
  </si>
  <si>
    <t>XLGantt</t>
  </si>
  <si>
    <t>PROGRAM_SITE</t>
    <phoneticPr fontId="8" type="noConversion"/>
  </si>
  <si>
    <t>http://xlworks.net</t>
    <phoneticPr fontId="8" type="noConversion"/>
  </si>
  <si>
    <t>PROGRAM_SITE_DISP</t>
    <phoneticPr fontId="8" type="noConversion"/>
  </si>
  <si>
    <t>VERSION</t>
    <phoneticPr fontId="8" type="noConversion"/>
  </si>
  <si>
    <t>2.1.0</t>
    <phoneticPr fontId="2" type="noConversion"/>
  </si>
  <si>
    <t>{"TASK_FIRST_COL":"5","START_ROW":"5","WBS_AREA_LAST_COL":"28"}</t>
    <phoneticPr fontId="8" type="noConversion"/>
  </si>
  <si>
    <t>RELEASE_DATE</t>
    <phoneticPr fontId="8" type="noConversion"/>
  </si>
  <si>
    <t>LICENSE</t>
    <phoneticPr fontId="8" type="noConversion"/>
  </si>
  <si>
    <t>Freeware</t>
    <phoneticPr fontId="8" type="noConversion"/>
  </si>
  <si>
    <t>OPTIONS_GENERAL</t>
    <phoneticPr fontId="2" type="noConversion"/>
  </si>
  <si>
    <t>Name:projectName</t>
  </si>
  <si>
    <t>OOO 프로젝트</t>
    <phoneticPr fontId="2" type="noConversion"/>
  </si>
  <si>
    <t>Name:isConfirmedProjectBasicInfo</t>
  </si>
  <si>
    <t>Name:projectStartDate</t>
  </si>
  <si>
    <t>Name:projectEndDate</t>
  </si>
  <si>
    <t>Name:scheduleSheetPosition</t>
  </si>
  <si>
    <t>SCHEDULE_SHEET_POSITION:3545121314151617181920212223242526272829</t>
    <phoneticPr fontId="2" type="noConversion"/>
  </si>
  <si>
    <t>Name:setTaskDateToProjectDate</t>
  </si>
  <si>
    <t>Name:optScheduleChangeMgt</t>
  </si>
  <si>
    <t>Name:optPlanRateCriteriaDate</t>
  </si>
  <si>
    <t>TODAY</t>
    <phoneticPr fontId="2" type="noConversion"/>
  </si>
  <si>
    <t>Name:optFirstDayOfWeek</t>
  </si>
  <si>
    <t>Name:chkWBSUpdateExecuteYN</t>
  </si>
  <si>
    <t>Name:chkCheckForUpdatesOnStartup</t>
  </si>
  <si>
    <t>Name:optNonWorkingDays</t>
  </si>
  <si>
    <t>OPTIONS_WBS_GANTT</t>
    <phoneticPr fontId="2" type="noConversion"/>
  </si>
  <si>
    <t>Name:completeTaskGrayDisplay</t>
  </si>
  <si>
    <t>Name:taskDispInGroup</t>
  </si>
  <si>
    <t>Name:taskDispInSub</t>
  </si>
  <si>
    <t>Name:dateDisp</t>
  </si>
  <si>
    <t>Name:ganttColWidth</t>
  </si>
  <si>
    <t>Name:taskNameDisplayPosition</t>
  </si>
  <si>
    <t>Name:actualRateDisp</t>
  </si>
  <si>
    <t>Name:groupTaskInteriorGrayDisplay</t>
  </si>
  <si>
    <t>Name:optGanttChartColumnDisplay</t>
  </si>
  <si>
    <t>Name:applyUserInputFirst</t>
  </si>
  <si>
    <t>Name:txtGanttChartZoomRatio</t>
  </si>
  <si>
    <t>Name:plannedRateDisp</t>
  </si>
  <si>
    <t>Name:resourceDisp</t>
  </si>
  <si>
    <t>Name:taskDisp</t>
  </si>
  <si>
    <t>Name:groupRows</t>
  </si>
  <si>
    <t>OPTIONS_DELIVERABLES_MGT</t>
    <phoneticPr fontId="2" type="noConversion"/>
  </si>
  <si>
    <t>Name:chkDeliverablesMgt</t>
    <phoneticPr fontId="8" type="noConversion"/>
  </si>
  <si>
    <t>Name:savePathType</t>
    <phoneticPr fontId="8" type="noConversion"/>
  </si>
  <si>
    <t>DEFINED</t>
    <phoneticPr fontId="8" type="noConversion"/>
  </si>
  <si>
    <t>Name:txtDefinedPath</t>
    <phoneticPr fontId="8" type="noConversion"/>
  </si>
  <si>
    <t>C:\Temp</t>
    <phoneticPr fontId="8" type="noConversion"/>
  </si>
  <si>
    <t>Name:txtAutoDefinedBasePath</t>
    <phoneticPr fontId="8" type="noConversion"/>
  </si>
  <si>
    <t>OPTIONS_DELIVERABLES_PGM_PATH</t>
    <phoneticPr fontId="2" type="noConversion"/>
  </si>
  <si>
    <t>Name:txtPgmName1</t>
    <phoneticPr fontId="8" type="noConversion"/>
  </si>
  <si>
    <t>파워포인트</t>
    <phoneticPr fontId="8" type="noConversion"/>
  </si>
  <si>
    <t>Name:txtFileExt1</t>
  </si>
  <si>
    <t>ppt*</t>
    <phoneticPr fontId="8" type="noConversion"/>
  </si>
  <si>
    <t>Name:txtPgmPath1</t>
    <phoneticPr fontId="8" type="noConversion"/>
  </si>
  <si>
    <t>자동지정</t>
    <phoneticPr fontId="8" type="noConversion"/>
  </si>
  <si>
    <t>Name:chkInclude2SelectList1</t>
    <phoneticPr fontId="8" type="noConversion"/>
  </si>
  <si>
    <t>Name:txtPgmName2</t>
    <phoneticPr fontId="8" type="noConversion"/>
  </si>
  <si>
    <t>워드</t>
    <phoneticPr fontId="8" type="noConversion"/>
  </si>
  <si>
    <t>Name:txtFileExt2</t>
    <phoneticPr fontId="8" type="noConversion"/>
  </si>
  <si>
    <t>doc*</t>
    <phoneticPr fontId="8" type="noConversion"/>
  </si>
  <si>
    <t>Name:txtPgmPath2</t>
    <phoneticPr fontId="8" type="noConversion"/>
  </si>
  <si>
    <t>Name:chkInclude2SelectList2</t>
    <phoneticPr fontId="8" type="noConversion"/>
  </si>
  <si>
    <t>Name:txtPgmName3</t>
    <phoneticPr fontId="8" type="noConversion"/>
  </si>
  <si>
    <t>엑셀</t>
    <phoneticPr fontId="8" type="noConversion"/>
  </si>
  <si>
    <t>Name:txtFileExt3</t>
    <phoneticPr fontId="8" type="noConversion"/>
  </si>
  <si>
    <t>xls*</t>
    <phoneticPr fontId="8" type="noConversion"/>
  </si>
  <si>
    <t>Name:txtPgmPath3</t>
    <phoneticPr fontId="8" type="noConversion"/>
  </si>
  <si>
    <t>Name:chkInclude2SelectList3</t>
    <phoneticPr fontId="8" type="noConversion"/>
  </si>
  <si>
    <t>Name:txtPgmName4</t>
    <phoneticPr fontId="8" type="noConversion"/>
  </si>
  <si>
    <t>Auto CAD</t>
    <phoneticPr fontId="8" type="noConversion"/>
  </si>
  <si>
    <t>Name:txtFileExt4</t>
    <phoneticPr fontId="8" type="noConversion"/>
  </si>
  <si>
    <t>cad</t>
    <phoneticPr fontId="8" type="noConversion"/>
  </si>
  <si>
    <t>Name:txtPgmPath4</t>
    <phoneticPr fontId="8" type="noConversion"/>
  </si>
  <si>
    <t>c:\cad\cad\cad.exe</t>
    <phoneticPr fontId="8" type="noConversion"/>
  </si>
  <si>
    <t>Name:chkInclude2SelectList4</t>
    <phoneticPr fontId="8" type="noConversion"/>
  </si>
  <si>
    <t>Name:txtPgmName5</t>
    <phoneticPr fontId="8" type="noConversion"/>
  </si>
  <si>
    <t>아크로에디터</t>
    <phoneticPr fontId="8" type="noConversion"/>
  </si>
  <si>
    <t>Name:txtFileExt5</t>
    <phoneticPr fontId="8" type="noConversion"/>
  </si>
  <si>
    <t>ace</t>
    <phoneticPr fontId="8" type="noConversion"/>
  </si>
  <si>
    <t>Name:txtPgmPath5</t>
    <phoneticPr fontId="8" type="noConversion"/>
  </si>
  <si>
    <t>c:\ace\aaa.exe</t>
    <phoneticPr fontId="8" type="noConversion"/>
  </si>
  <si>
    <t>Name:chkInclude2SelectList5</t>
    <phoneticPr fontId="8" type="noConversion"/>
  </si>
  <si>
    <t>Name:txtPgmName6</t>
  </si>
  <si>
    <t>메모장</t>
    <phoneticPr fontId="8" type="noConversion"/>
  </si>
  <si>
    <t>Name:txtFileExt6</t>
  </si>
  <si>
    <t>txt</t>
    <phoneticPr fontId="8" type="noConversion"/>
  </si>
  <si>
    <t>Name:txtPgmPath6</t>
  </si>
  <si>
    <t>C:\WINDOWS\system32\notepad.exe</t>
    <phoneticPr fontId="8" type="noConversion"/>
  </si>
  <si>
    <t>Name:chkInclude2SelectList6</t>
  </si>
  <si>
    <t>Name:txtPgmName7</t>
  </si>
  <si>
    <t>Name:txtFileExt7</t>
  </si>
  <si>
    <t>Name:txtPgmPath7</t>
  </si>
  <si>
    <t>Name:chkInclude2SelectList7</t>
  </si>
  <si>
    <t>Name:txtPgmName8</t>
  </si>
  <si>
    <t>Name:txtFileExt8</t>
  </si>
  <si>
    <t>Name:txtPgmPath8</t>
  </si>
  <si>
    <t>Name:chkInclude2SelectList8</t>
  </si>
  <si>
    <t>OPTIONS_LANGUAGE</t>
    <phoneticPr fontId="2" type="noConversion"/>
  </si>
  <si>
    <t>Name:languageSelectionType</t>
  </si>
  <si>
    <t>Name:languageSelectedByManual</t>
  </si>
  <si>
    <t>Name:selectedLanguageList</t>
  </si>
  <si>
    <t>1:English,82:Korean</t>
    <phoneticPr fontId="2" type="noConversion"/>
  </si>
  <si>
    <t>Name:lastTranslatedLanguage</t>
  </si>
  <si>
    <t>Reserved</t>
    <phoneticPr fontId="8" type="noConversion"/>
  </si>
  <si>
    <t>Text Index</t>
    <phoneticPr fontId="8" type="noConversion"/>
  </si>
  <si>
    <t>Description</t>
    <phoneticPr fontId="8" type="noConversion"/>
  </si>
  <si>
    <t>English</t>
  </si>
  <si>
    <t>Korean</t>
  </si>
  <si>
    <t>E</t>
    <phoneticPr fontId="2"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</si>
  <si>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</si>
  <si>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r>
      <t xml:space="preserve">* </t>
    </r>
    <r>
      <rPr>
        <sz val="9"/>
        <color theme="1"/>
        <rFont val="맑은 고딕"/>
        <family val="2"/>
      </rPr>
      <t>현재</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영어와</t>
    </r>
    <r>
      <rPr>
        <sz val="9"/>
        <color theme="1"/>
        <rFont val="Calibri"/>
        <family val="2"/>
      </rPr>
      <t xml:space="preserve"> </t>
    </r>
    <r>
      <rPr>
        <sz val="9"/>
        <color theme="1"/>
        <rFont val="맑은 고딕"/>
        <family val="2"/>
      </rPr>
      <t>한국어만</t>
    </r>
    <r>
      <rPr>
        <sz val="9"/>
        <color theme="1"/>
        <rFont val="Calibri"/>
        <family val="2"/>
      </rPr>
      <t xml:space="preserve"> </t>
    </r>
    <r>
      <rPr>
        <sz val="9"/>
        <color theme="1"/>
        <rFont val="맑은 고딕"/>
        <family val="2"/>
      </rPr>
      <t>지원합니다</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필요하면</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언어추가</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추가하고</t>
    </r>
    <r>
      <rPr>
        <sz val="9"/>
        <color theme="1"/>
        <rFont val="Calibri"/>
        <family val="2"/>
      </rPr>
      <t xml:space="preserve"> TranslatedLanguages sheet</t>
    </r>
    <r>
      <rPr>
        <sz val="9"/>
        <color theme="1"/>
        <rFont val="맑은 고딕"/>
        <family val="2"/>
      </rPr>
      <t>에</t>
    </r>
    <r>
      <rPr>
        <sz val="9"/>
        <color theme="1"/>
        <rFont val="Calibri"/>
        <family val="2"/>
      </rPr>
      <t xml:space="preserve"> </t>
    </r>
    <r>
      <rPr>
        <sz val="9"/>
        <color theme="1"/>
        <rFont val="맑은 고딕"/>
        <family val="2"/>
      </rPr>
      <t>각</t>
    </r>
    <r>
      <rPr>
        <sz val="9"/>
        <color theme="1"/>
        <rFont val="Calibri"/>
        <family val="2"/>
      </rPr>
      <t xml:space="preserve"> </t>
    </r>
    <r>
      <rPr>
        <sz val="9"/>
        <color theme="1"/>
        <rFont val="맑은 고딕"/>
        <family val="2"/>
      </rPr>
      <t>언어별로</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추가해야</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번역을</t>
    </r>
    <r>
      <rPr>
        <sz val="9"/>
        <color theme="1"/>
        <rFont val="Calibri"/>
        <family val="2"/>
      </rPr>
      <t xml:space="preserve"> </t>
    </r>
    <r>
      <rPr>
        <sz val="9"/>
        <color theme="1"/>
        <rFont val="맑은 고딕"/>
        <family val="2"/>
      </rPr>
      <t>추가하지</t>
    </r>
    <r>
      <rPr>
        <sz val="9"/>
        <color theme="1"/>
        <rFont val="Calibri"/>
        <family val="2"/>
      </rPr>
      <t xml:space="preserve"> </t>
    </r>
    <r>
      <rPr>
        <sz val="9"/>
        <color theme="1"/>
        <rFont val="맑은 고딕"/>
        <family val="2"/>
      </rPr>
      <t>않으면</t>
    </r>
    <r>
      <rPr>
        <sz val="9"/>
        <color theme="1"/>
        <rFont val="Calibri"/>
        <family val="2"/>
      </rPr>
      <t xml:space="preserve"> </t>
    </r>
    <r>
      <rPr>
        <sz val="9"/>
        <color theme="1"/>
        <rFont val="맑은 고딕"/>
        <family val="2"/>
      </rPr>
      <t>기본언어인</t>
    </r>
    <r>
      <rPr>
        <sz val="9"/>
        <color theme="1"/>
        <rFont val="Calibri"/>
        <family val="2"/>
      </rPr>
      <t xml:space="preserve"> </t>
    </r>
    <r>
      <rPr>
        <sz val="9"/>
        <color theme="1"/>
        <rFont val="맑은 고딕"/>
        <family val="2"/>
      </rPr>
      <t>영어로</t>
    </r>
    <r>
      <rPr>
        <sz val="9"/>
        <color theme="1"/>
        <rFont val="Calibri"/>
        <family val="2"/>
      </rPr>
      <t xml:space="preserve"> </t>
    </r>
    <r>
      <rPr>
        <sz val="9"/>
        <color theme="1"/>
        <rFont val="맑은 고딕"/>
        <family val="2"/>
      </rPr>
      <t>표시됩니다</t>
    </r>
    <r>
      <rPr>
        <sz val="9"/>
        <color theme="1"/>
        <rFont val="Calibri"/>
        <family val="2"/>
      </rPr>
      <t>(TranslatedLanguages sheet</t>
    </r>
    <r>
      <rPr>
        <sz val="9"/>
        <color theme="1"/>
        <rFont val="맑은 고딕"/>
        <family val="2"/>
      </rPr>
      <t>는</t>
    </r>
    <r>
      <rPr>
        <sz val="9"/>
        <color theme="1"/>
        <rFont val="Calibri"/>
        <family val="2"/>
      </rPr>
      <t xml:space="preserve"> </t>
    </r>
    <r>
      <rPr>
        <sz val="9"/>
        <color theme="1"/>
        <rFont val="맑은 고딕"/>
        <family val="2"/>
      </rPr>
      <t>숨겨져</t>
    </r>
    <r>
      <rPr>
        <sz val="9"/>
        <color theme="1"/>
        <rFont val="Calibri"/>
        <family val="2"/>
      </rPr>
      <t xml:space="preserve"> </t>
    </r>
    <r>
      <rPr>
        <sz val="9"/>
        <color theme="1"/>
        <rFont val="맑은 고딕"/>
        <family val="2"/>
      </rPr>
      <t>있음</t>
    </r>
    <r>
      <rPr>
        <sz val="9"/>
        <color theme="1"/>
        <rFont val="Calibri"/>
        <family val="2"/>
      </rPr>
      <t>,Sheet</t>
    </r>
    <r>
      <rPr>
        <sz val="9"/>
        <color theme="1"/>
        <rFont val="맑은 고딕"/>
        <family val="2"/>
      </rPr>
      <t>메뉴에서</t>
    </r>
    <r>
      <rPr>
        <sz val="9"/>
        <color theme="1"/>
        <rFont val="Calibri"/>
        <family val="2"/>
      </rPr>
      <t xml:space="preserve"> </t>
    </r>
    <r>
      <rPr>
        <sz val="9"/>
        <color theme="1"/>
        <rFont val="맑은 고딕"/>
        <family val="2"/>
      </rPr>
      <t>숨기기</t>
    </r>
    <r>
      <rPr>
        <sz val="9"/>
        <color theme="1"/>
        <rFont val="Calibri"/>
        <family val="2"/>
      </rPr>
      <t xml:space="preserve"> </t>
    </r>
    <r>
      <rPr>
        <sz val="9"/>
        <color theme="1"/>
        <rFont val="맑은 고딕"/>
        <family val="2"/>
      </rPr>
      <t>취소하면</t>
    </r>
    <r>
      <rPr>
        <sz val="9"/>
        <color theme="1"/>
        <rFont val="Calibri"/>
        <family val="2"/>
      </rPr>
      <t xml:space="preserve"> </t>
    </r>
    <r>
      <rPr>
        <sz val="9"/>
        <color theme="1"/>
        <rFont val="맑은 고딕"/>
        <family val="2"/>
      </rPr>
      <t>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있음</t>
    </r>
    <r>
      <rPr>
        <sz val="9"/>
        <color theme="1"/>
        <rFont val="Calibri"/>
        <family val="2"/>
      </rPr>
      <t>)</t>
    </r>
  </si>
  <si>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</si>
  <si>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r>
      <rPr>
        <sz val="9"/>
        <color theme="1"/>
        <rFont val="맑은 고딕"/>
        <family val="2"/>
      </rPr>
      <t>여기에는</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휴무일만</t>
    </r>
    <r>
      <rPr>
        <sz val="9"/>
        <color theme="1"/>
        <rFont val="Calibri"/>
        <family val="2"/>
      </rPr>
      <t xml:space="preserve"> </t>
    </r>
    <r>
      <rPr>
        <sz val="9"/>
        <color theme="1"/>
        <rFont val="맑은 고딕"/>
        <family val="2"/>
      </rPr>
      <t>입력하세요</t>
    </r>
    <r>
      <rPr>
        <sz val="9"/>
        <color theme="1"/>
        <rFont val="Calibri"/>
        <family val="2"/>
      </rPr>
      <t>.</t>
    </r>
    <r>
      <rPr>
        <sz val="9"/>
        <color theme="1"/>
        <rFont val="맑은 고딕"/>
        <family val="2"/>
      </rPr>
      <t>휴무일을</t>
    </r>
    <r>
      <rPr>
        <sz val="9"/>
        <color theme="1"/>
        <rFont val="Calibri"/>
        <family val="2"/>
      </rPr>
      <t xml:space="preserve"> </t>
    </r>
    <r>
      <rPr>
        <sz val="9"/>
        <color theme="1"/>
        <rFont val="맑은 고딕"/>
        <family val="2"/>
      </rPr>
      <t>제외한</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근무일자로</t>
    </r>
    <r>
      <rPr>
        <sz val="9"/>
        <color theme="1"/>
        <rFont val="Calibri"/>
        <family val="2"/>
      </rPr>
      <t xml:space="preserve"> </t>
    </r>
    <r>
      <rPr>
        <sz val="9"/>
        <color theme="1"/>
        <rFont val="맑은 고딕"/>
        <family val="2"/>
      </rPr>
      <t>설정됩니다</t>
    </r>
    <r>
      <rPr>
        <sz val="9"/>
        <color theme="1"/>
        <rFont val="Calibri"/>
        <family val="2"/>
      </rPr>
      <t>. \n</t>
    </r>
    <r>
      <rPr>
        <sz val="9"/>
        <color theme="1"/>
        <rFont val="맑은 고딕"/>
        <family val="2"/>
      </rPr>
      <t>휴무일을</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작업기간</t>
    </r>
    <r>
      <rPr>
        <sz val="9"/>
        <color theme="1"/>
        <rFont val="Calibri"/>
        <family val="2"/>
      </rPr>
      <t xml:space="preserve"> </t>
    </r>
    <r>
      <rPr>
        <sz val="9"/>
        <color theme="1"/>
        <rFont val="맑은 고딕"/>
        <family val="2"/>
      </rPr>
      <t>계산시</t>
    </r>
    <r>
      <rPr>
        <sz val="9"/>
        <color theme="1"/>
        <rFont val="Calibri"/>
        <family val="2"/>
      </rPr>
      <t xml:space="preserve"> </t>
    </r>
    <r>
      <rPr>
        <sz val="9"/>
        <color theme="1"/>
        <rFont val="맑은 고딕"/>
        <family val="2"/>
      </rPr>
      <t>반영합니다</t>
    </r>
    <r>
      <rPr>
        <sz val="9"/>
        <color theme="1"/>
        <rFont val="Calibri"/>
        <family val="2"/>
      </rPr>
      <t xml:space="preserve">. </t>
    </r>
    <r>
      <rPr>
        <sz val="9"/>
        <color theme="1"/>
        <rFont val="맑은 고딕"/>
        <family val="2"/>
      </rPr>
      <t>입력한</t>
    </r>
    <r>
      <rPr>
        <sz val="9"/>
        <color theme="1"/>
        <rFont val="Calibri"/>
        <family val="2"/>
      </rPr>
      <t xml:space="preserve"> </t>
    </r>
    <r>
      <rPr>
        <sz val="9"/>
        <color theme="1"/>
        <rFont val="맑은 고딕"/>
        <family val="2"/>
      </rPr>
      <t>일자만큼</t>
    </r>
    <r>
      <rPr>
        <sz val="9"/>
        <color theme="1"/>
        <rFont val="Calibri"/>
        <family val="2"/>
      </rPr>
      <t xml:space="preserve"> </t>
    </r>
    <r>
      <rPr>
        <sz val="9"/>
        <color theme="1"/>
        <rFont val="맑은 고딕"/>
        <family val="2"/>
      </rPr>
      <t>작업기간에서</t>
    </r>
    <r>
      <rPr>
        <sz val="9"/>
        <color theme="1"/>
        <rFont val="Calibri"/>
        <family val="2"/>
      </rPr>
      <t xml:space="preserve"> </t>
    </r>
    <r>
      <rPr>
        <sz val="9"/>
        <color theme="1"/>
        <rFont val="맑은 고딕"/>
        <family val="2"/>
      </rPr>
      <t>제외합니다</t>
    </r>
    <r>
      <rPr>
        <sz val="9"/>
        <color theme="1"/>
        <rFont val="Calibri"/>
        <family val="2"/>
      </rPr>
      <t>.\n(</t>
    </r>
    <r>
      <rPr>
        <sz val="9"/>
        <color theme="1"/>
        <rFont val="맑은 고딕"/>
        <family val="2"/>
      </rPr>
      <t>단</t>
    </r>
    <r>
      <rPr>
        <sz val="9"/>
        <color theme="1"/>
        <rFont val="Calibri"/>
        <family val="2"/>
      </rPr>
      <t xml:space="preserve">, </t>
    </r>
    <r>
      <rPr>
        <sz val="9"/>
        <color theme="1"/>
        <rFont val="맑은 고딕"/>
        <family val="2"/>
      </rPr>
      <t>옵션창의</t>
    </r>
    <r>
      <rPr>
        <sz val="9"/>
        <color theme="1"/>
        <rFont val="Calibri"/>
        <family val="2"/>
      </rPr>
      <t xml:space="preserve"> </t>
    </r>
    <r>
      <rPr>
        <sz val="9"/>
        <color theme="1"/>
        <rFont val="맑은 고딕"/>
        <family val="2"/>
      </rPr>
      <t>캘린더</t>
    </r>
    <r>
      <rPr>
        <sz val="9"/>
        <color theme="1"/>
        <rFont val="Calibri"/>
        <family val="2"/>
      </rPr>
      <t xml:space="preserve"> </t>
    </r>
    <r>
      <rPr>
        <sz val="9"/>
        <color theme="1"/>
        <rFont val="맑은 고딕"/>
        <family val="2"/>
      </rPr>
      <t>설정에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휴무일계산방법은</t>
    </r>
    <r>
      <rPr>
        <sz val="9"/>
        <color theme="1"/>
        <rFont val="Calibri"/>
        <family val="2"/>
      </rPr>
      <t xml:space="preserve"> </t>
    </r>
    <r>
      <rPr>
        <sz val="9"/>
        <color theme="1"/>
        <rFont val="맑은 고딕"/>
        <family val="2"/>
      </rPr>
      <t>달라질</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.)\n</t>
    </r>
    <r>
      <rPr>
        <sz val="9"/>
        <color theme="1"/>
        <rFont val="맑은 고딕"/>
        <family val="2"/>
      </rPr>
      <t>표준캘린더는</t>
    </r>
    <r>
      <rPr>
        <sz val="9"/>
        <color theme="1"/>
        <rFont val="Calibri"/>
        <family val="2"/>
      </rPr>
      <t xml:space="preserve"> </t>
    </r>
    <r>
      <rPr>
        <sz val="9"/>
        <color theme="1"/>
        <rFont val="맑은 고딕"/>
        <family val="2"/>
      </rPr>
      <t>기본으로</t>
    </r>
    <r>
      <rPr>
        <sz val="9"/>
        <color theme="1"/>
        <rFont val="Calibri"/>
        <family val="2"/>
      </rPr>
      <t xml:space="preserve"> </t>
    </r>
    <r>
      <rPr>
        <sz val="9"/>
        <color theme="1"/>
        <rFont val="맑은 고딕"/>
        <family val="2"/>
      </rPr>
      <t>적용되는</t>
    </r>
    <r>
      <rPr>
        <sz val="9"/>
        <color theme="1"/>
        <rFont val="Calibri"/>
        <family val="2"/>
      </rPr>
      <t xml:space="preserve"> </t>
    </r>
    <r>
      <rPr>
        <sz val="9"/>
        <color theme="1"/>
        <rFont val="맑은 고딕"/>
        <family val="2"/>
      </rPr>
      <t>캘린더이며</t>
    </r>
    <r>
      <rPr>
        <sz val="9"/>
        <color theme="1"/>
        <rFont val="Calibri"/>
        <family val="2"/>
      </rPr>
      <t xml:space="preserve"> </t>
    </r>
    <r>
      <rPr>
        <sz val="9"/>
        <color theme="1"/>
        <rFont val="맑은 고딕"/>
        <family val="2"/>
      </rPr>
      <t>특정</t>
    </r>
    <r>
      <rPr>
        <sz val="9"/>
        <color theme="1"/>
        <rFont val="Calibri"/>
        <family val="2"/>
      </rPr>
      <t xml:space="preserve"> </t>
    </r>
    <r>
      <rPr>
        <sz val="9"/>
        <color theme="1"/>
        <rFont val="맑은 고딕"/>
        <family val="2"/>
      </rPr>
      <t>작업에</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캘린더를</t>
    </r>
    <r>
      <rPr>
        <sz val="9"/>
        <color theme="1"/>
        <rFont val="Calibri"/>
        <family val="2"/>
      </rPr>
      <t xml:space="preserve"> </t>
    </r>
    <r>
      <rPr>
        <sz val="9"/>
        <color theme="1"/>
        <rFont val="맑은 고딕"/>
        <family val="2"/>
      </rPr>
      <t>지정하고</t>
    </r>
    <r>
      <rPr>
        <sz val="9"/>
        <color theme="1"/>
        <rFont val="Calibri"/>
        <family val="2"/>
      </rPr>
      <t xml:space="preserve"> </t>
    </r>
    <r>
      <rPr>
        <sz val="9"/>
        <color theme="1"/>
        <rFont val="맑은 고딕"/>
        <family val="2"/>
      </rPr>
      <t>싶으면</t>
    </r>
    <r>
      <rPr>
        <sz val="9"/>
        <color theme="1"/>
        <rFont val="Calibri"/>
        <family val="2"/>
      </rPr>
      <t xml:space="preserve">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 "</t>
    </r>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r>
      <rPr>
        <sz val="9"/>
        <color theme="1"/>
        <rFont val="맑은 고딕"/>
        <family val="2"/>
      </rPr>
      <t>에</t>
    </r>
    <r>
      <rPr>
        <sz val="9"/>
        <color theme="1"/>
        <rFont val="Calibri"/>
        <family val="2"/>
      </rPr>
      <t xml:space="preserve"> </t>
    </r>
    <r>
      <rPr>
        <sz val="9"/>
        <color theme="1"/>
        <rFont val="맑은 고딕"/>
        <family val="2"/>
      </rPr>
      <t>휴무일을</t>
    </r>
    <r>
      <rPr>
        <sz val="9"/>
        <color theme="1"/>
        <rFont val="Calibri"/>
        <family val="2"/>
      </rPr>
      <t xml:space="preserve"> </t>
    </r>
    <r>
      <rPr>
        <sz val="9"/>
        <color theme="1"/>
        <rFont val="맑은 고딕"/>
        <family val="2"/>
      </rPr>
      <t>지정하여</t>
    </r>
    <r>
      <rPr>
        <sz val="9"/>
        <color theme="1"/>
        <rFont val="Calibri"/>
        <family val="2"/>
      </rPr>
      <t xml:space="preserve"> </t>
    </r>
    <r>
      <rPr>
        <sz val="9"/>
        <color theme="1"/>
        <rFont val="맑은 고딕"/>
        <family val="2"/>
      </rPr>
      <t>사용합니다</t>
    </r>
    <r>
      <rPr>
        <sz val="9"/>
        <color theme="1"/>
        <rFont val="Calibri"/>
        <family val="2"/>
      </rPr>
      <t>.</t>
    </r>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</si>
  <si>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</si>
  <si>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({3})</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({4})</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</si>
  <si>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</si>
  <si>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t>
    </r>
    <r>
      <rPr>
        <sz val="9"/>
        <color theme="1"/>
        <rFont val="맑은 고딕"/>
        <family val="2"/>
      </rPr>
      <t>엑셀파일이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t>
    </r>
    <r>
      <rPr>
        <sz val="9"/>
        <color theme="1"/>
        <rFont val="맑은 고딕"/>
        <family val="2"/>
      </rPr>
      <t>자료</t>
    </r>
    <r>
      <rPr>
        <sz val="9"/>
        <color theme="1"/>
        <rFont val="Calibri"/>
        <family val="2"/>
      </rPr>
      <t xml:space="preserve"> </t>
    </r>
    <r>
      <rPr>
        <sz val="9"/>
        <color theme="1"/>
        <rFont val="맑은 고딕"/>
        <family val="2"/>
      </rPr>
      <t>포맷이</t>
    </r>
    <r>
      <rPr>
        <sz val="9"/>
        <color theme="1"/>
        <rFont val="Calibri"/>
        <family val="2"/>
      </rPr>
      <t xml:space="preserve"> </t>
    </r>
    <r>
      <rPr>
        <sz val="9"/>
        <color theme="1"/>
        <rFont val="맑은 고딕"/>
        <family val="2"/>
      </rPr>
      <t>틀린</t>
    </r>
    <r>
      <rPr>
        <sz val="9"/>
        <color theme="1"/>
        <rFont val="Calibri"/>
        <family val="2"/>
      </rPr>
      <t xml:space="preserve"> </t>
    </r>
    <r>
      <rPr>
        <sz val="9"/>
        <color theme="1"/>
        <rFont val="맑은 고딕"/>
        <family val="2"/>
      </rPr>
      <t>경우</t>
    </r>
    <r>
      <rPr>
        <sz val="9"/>
        <color theme="1"/>
        <rFont val="Calibri"/>
        <family val="2"/>
      </rPr>
      <t>(1</t>
    </r>
    <r>
      <rPr>
        <sz val="9"/>
        <color theme="1"/>
        <rFont val="맑은 고딕"/>
        <family val="2"/>
      </rPr>
      <t>행에</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들어가</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포맷</t>
    </r>
    <r>
      <rPr>
        <sz val="9"/>
        <color theme="1"/>
        <rFont val="Calibri"/>
        <family val="2"/>
      </rPr>
      <t xml:space="preserve"> </t>
    </r>
    <r>
      <rPr>
        <sz val="9"/>
        <color theme="1"/>
        <rFont val="맑은 고딕"/>
        <family val="2"/>
      </rPr>
      <t>또는</t>
    </r>
    <r>
      <rPr>
        <sz val="9"/>
        <color theme="1"/>
        <rFont val="Calibri"/>
        <family val="2"/>
      </rPr>
      <t xml:space="preserve"> XLGantt </t>
    </r>
    <r>
      <rPr>
        <sz val="9"/>
        <color theme="1"/>
        <rFont val="맑은 고딕"/>
        <family val="2"/>
      </rPr>
      <t>파일만</t>
    </r>
    <r>
      <rPr>
        <sz val="9"/>
        <color theme="1"/>
        <rFont val="Calibri"/>
        <family val="2"/>
      </rPr>
      <t xml:space="preserve"> </t>
    </r>
    <r>
      <rPr>
        <sz val="9"/>
        <color theme="1"/>
        <rFont val="맑은 고딕"/>
        <family val="2"/>
      </rPr>
      <t>허용</t>
    </r>
    <r>
      <rPr>
        <sz val="9"/>
        <color theme="1"/>
        <rFont val="Calibri"/>
        <family val="2"/>
      </rPr>
      <t xml:space="preserve">)\n - </t>
    </r>
    <r>
      <rPr>
        <sz val="9"/>
        <color theme="1"/>
        <rFont val="맑은 고딕"/>
        <family val="2"/>
      </rPr>
      <t>이미</t>
    </r>
    <r>
      <rPr>
        <sz val="9"/>
        <color theme="1"/>
        <rFont val="Calibri"/>
        <family val="2"/>
      </rPr>
      <t xml:space="preserve"> </t>
    </r>
    <r>
      <rPr>
        <sz val="9"/>
        <color theme="1"/>
        <rFont val="맑은 고딕"/>
        <family val="2"/>
      </rPr>
      <t>열려있는</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또</t>
    </r>
    <r>
      <rPr>
        <sz val="9"/>
        <color theme="1"/>
        <rFont val="Calibri"/>
        <family val="2"/>
      </rPr>
      <t xml:space="preserve"> </t>
    </r>
    <r>
      <rPr>
        <sz val="9"/>
        <color theme="1"/>
        <rFont val="맑은 고딕"/>
        <family val="2"/>
      </rPr>
      <t>열다가</t>
    </r>
    <r>
      <rPr>
        <sz val="9"/>
        <color theme="1"/>
        <rFont val="Calibri"/>
        <family val="2"/>
      </rPr>
      <t xml:space="preserve"> </t>
    </r>
    <r>
      <rPr>
        <sz val="9"/>
        <color theme="1"/>
        <rFont val="맑은 고딕"/>
        <family val="2"/>
      </rPr>
      <t>취소하는</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</si>
  <si>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 You can import  files created in XLGantt._x000D_
* You can import files if the version is 0.9.7 or higher than 0.9.7_x000D_
* You can import up to 10,000 records._x000D_
* You can import multiple files simultaneously.</t>
    <phoneticPr fontId="2" type="noConversion"/>
  </si>
  <si>
    <r>
      <t xml:space="preserve">* </t>
    </r>
    <r>
      <rPr>
        <sz val="9"/>
        <color theme="1"/>
        <rFont val="맑은 고딕"/>
        <family val="2"/>
      </rPr>
      <t>가져올</t>
    </r>
    <r>
      <rPr>
        <sz val="9"/>
        <color theme="1"/>
        <rFont val="Calibri"/>
        <family val="2"/>
      </rPr>
      <t xml:space="preserve"> </t>
    </r>
    <r>
      <rPr>
        <sz val="9"/>
        <color theme="1"/>
        <rFont val="맑은 고딕"/>
        <family val="2"/>
      </rPr>
      <t>파일이</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 xml:space="preserve">가능_x000D_
</t>
    </r>
    <r>
      <rPr>
        <sz val="9"/>
        <color theme="1"/>
        <rFont val="Calibri"/>
        <family val="2"/>
      </rPr>
      <t>\n* XLGantt</t>
    </r>
    <r>
      <rPr>
        <sz val="9"/>
        <color theme="1"/>
        <rFont val="맑은 고딕"/>
        <family val="2"/>
      </rPr>
      <t>의</t>
    </r>
    <r>
      <rPr>
        <sz val="9"/>
        <color theme="1"/>
        <rFont val="Calibri"/>
        <family val="2"/>
      </rPr>
      <t xml:space="preserve"> </t>
    </r>
    <r>
      <rPr>
        <sz val="9"/>
        <color theme="1"/>
        <rFont val="맑은 고딕"/>
        <family val="2"/>
      </rPr>
      <t>버전이</t>
    </r>
    <r>
      <rPr>
        <sz val="9"/>
        <color theme="1"/>
        <rFont val="Calibri"/>
        <family val="2"/>
      </rPr>
      <t xml:space="preserve"> 0.9.7 </t>
    </r>
    <r>
      <rPr>
        <sz val="9"/>
        <color theme="1"/>
        <rFont val="맑은 고딕"/>
        <family val="2"/>
      </rPr>
      <t>이상인</t>
    </r>
    <r>
      <rPr>
        <sz val="9"/>
        <color theme="1"/>
        <rFont val="Calibri"/>
        <family val="2"/>
      </rPr>
      <t xml:space="preserve"> </t>
    </r>
    <r>
      <rPr>
        <sz val="9"/>
        <color theme="1"/>
        <rFont val="맑은 고딕"/>
        <family val="2"/>
      </rPr>
      <t>경우만</t>
    </r>
    <r>
      <rPr>
        <sz val="9"/>
        <color theme="1"/>
        <rFont val="Calibri"/>
        <family val="2"/>
      </rPr>
      <t xml:space="preserve"> </t>
    </r>
    <r>
      <rPr>
        <sz val="9"/>
        <color theme="1"/>
        <rFont val="맑은 고딕"/>
        <family val="2"/>
      </rPr>
      <t>가능</t>
    </r>
    <r>
      <rPr>
        <sz val="9"/>
        <color theme="1"/>
        <rFont val="Calibri"/>
        <family val="2"/>
      </rPr>
      <t xml:space="preserve">\n* </t>
    </r>
    <r>
      <rPr>
        <sz val="9"/>
        <color theme="1"/>
        <rFont val="맑은 고딕"/>
        <family val="2"/>
      </rPr>
      <t>자료의</t>
    </r>
    <r>
      <rPr>
        <sz val="9"/>
        <color theme="1"/>
        <rFont val="Calibri"/>
        <family val="2"/>
      </rPr>
      <t xml:space="preserve"> </t>
    </r>
    <r>
      <rPr>
        <sz val="9"/>
        <color theme="1"/>
        <rFont val="맑은 고딕"/>
        <family val="2"/>
      </rPr>
      <t>갯수는</t>
    </r>
    <r>
      <rPr>
        <sz val="9"/>
        <color theme="1"/>
        <rFont val="Calibri"/>
        <family val="2"/>
      </rPr>
      <t xml:space="preserve"> 10,000</t>
    </r>
    <r>
      <rPr>
        <sz val="9"/>
        <color theme="1"/>
        <rFont val="맑은 고딕"/>
        <family val="2"/>
      </rPr>
      <t>개</t>
    </r>
    <r>
      <rPr>
        <sz val="9"/>
        <color theme="1"/>
        <rFont val="Calibri"/>
        <family val="2"/>
      </rPr>
      <t xml:space="preserve"> </t>
    </r>
    <r>
      <rPr>
        <sz val="9"/>
        <color theme="1"/>
        <rFont val="맑은 고딕"/>
        <family val="2"/>
      </rPr>
      <t>이하까지만</t>
    </r>
    <r>
      <rPr>
        <sz val="9"/>
        <color theme="1"/>
        <rFont val="Calibri"/>
        <family val="2"/>
      </rPr>
      <t xml:space="preserve"> </t>
    </r>
    <r>
      <rPr>
        <sz val="9"/>
        <color theme="1"/>
        <rFont val="맑은 고딕"/>
        <family val="2"/>
      </rPr>
      <t xml:space="preserve">처리됨_x000D_
</t>
    </r>
    <r>
      <rPr>
        <sz val="9"/>
        <color theme="1"/>
        <rFont val="Calibri"/>
        <family val="2"/>
      </rPr>
      <t xml:space="preserve">\n* </t>
    </r>
    <r>
      <rPr>
        <sz val="9"/>
        <color theme="1"/>
        <rFont val="맑은 고딕"/>
        <family val="2"/>
      </rPr>
      <t>여러개의</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동시처리</t>
    </r>
    <r>
      <rPr>
        <sz val="9"/>
        <color theme="1"/>
        <rFont val="Calibri"/>
        <family val="2"/>
      </rPr>
      <t xml:space="preserve"> </t>
    </r>
    <r>
      <rPr>
        <sz val="9"/>
        <color theme="1"/>
        <rFont val="맑은 고딕"/>
        <family val="2"/>
      </rPr>
      <t xml:space="preserve">가능_x000D_
</t>
    </r>
  </si>
  <si>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</si>
  <si>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r>
      <rPr>
        <sz val="9"/>
        <color theme="1"/>
        <rFont val="맑은 고딕"/>
        <family val="2"/>
      </rPr>
      <t>프로젝트</t>
    </r>
    <r>
      <rPr>
        <sz val="9"/>
        <color theme="1"/>
        <rFont val="Calibri"/>
        <family val="2"/>
      </rPr>
      <t xml:space="preserve"> </t>
    </r>
    <r>
      <rPr>
        <sz val="9"/>
        <color theme="1"/>
        <rFont val="맑은 고딕"/>
        <family val="2"/>
      </rPr>
      <t>기간이</t>
    </r>
    <r>
      <rPr>
        <sz val="9"/>
        <color theme="1"/>
        <rFont val="Calibri"/>
        <family val="2"/>
      </rPr>
      <t xml:space="preserve"> </t>
    </r>
    <r>
      <rPr>
        <sz val="9"/>
        <color theme="1"/>
        <rFont val="맑은 고딕"/>
        <family val="2"/>
      </rPr>
      <t>너무</t>
    </r>
    <r>
      <rPr>
        <sz val="9"/>
        <color theme="1"/>
        <rFont val="Calibri"/>
        <family val="2"/>
      </rPr>
      <t xml:space="preserve"> </t>
    </r>
    <r>
      <rPr>
        <sz val="9"/>
        <color theme="1"/>
        <rFont val="맑은 고딕"/>
        <family val="2"/>
      </rPr>
      <t>깁니다</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시작일자는</t>
    </r>
    <r>
      <rPr>
        <sz val="9"/>
        <color theme="1"/>
        <rFont val="Calibri"/>
        <family val="2"/>
      </rPr>
      <t xml:space="preserve"> {1}</t>
    </r>
    <r>
      <rPr>
        <sz val="9"/>
        <color theme="1"/>
        <rFont val="맑은 고딕"/>
        <family val="2"/>
      </rPr>
      <t>이고</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완료일자는</t>
    </r>
    <r>
      <rPr>
        <sz val="9"/>
        <color theme="1"/>
        <rFont val="Calibri"/>
        <family val="2"/>
      </rPr>
      <t xml:space="preserve"> {2}</t>
    </r>
    <r>
      <rPr>
        <sz val="9"/>
        <color theme="1"/>
        <rFont val="맑은 고딕"/>
        <family val="2"/>
      </rPr>
      <t>이므로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기간은</t>
    </r>
    <r>
      <rPr>
        <sz val="9"/>
        <color theme="1"/>
        <rFont val="Calibri"/>
        <family val="2"/>
      </rPr>
      <t xml:space="preserve"> {3}</t>
    </r>
    <r>
      <rPr>
        <sz val="9"/>
        <color theme="1"/>
        <rFont val="맑은 고딕"/>
        <family val="2"/>
      </rPr>
      <t>일입니다</t>
    </r>
    <r>
      <rPr>
        <sz val="9"/>
        <color theme="1"/>
        <rFont val="Calibri"/>
        <family val="2"/>
      </rPr>
      <t>. XLGantt</t>
    </r>
    <r>
      <rPr>
        <sz val="9"/>
        <color theme="1"/>
        <rFont val="맑은 고딕"/>
        <family val="2"/>
      </rPr>
      <t>에서</t>
    </r>
    <r>
      <rPr>
        <sz val="9"/>
        <color theme="1"/>
        <rFont val="Calibri"/>
        <family val="2"/>
      </rPr>
      <t xml:space="preserve"> </t>
    </r>
    <r>
      <rPr>
        <sz val="9"/>
        <color theme="1"/>
        <rFont val="맑은 고딕"/>
        <family val="2"/>
      </rPr>
      <t>허용되는</t>
    </r>
    <r>
      <rPr>
        <sz val="9"/>
        <color theme="1"/>
        <rFont val="Calibri"/>
        <family val="2"/>
      </rPr>
      <t xml:space="preserve"> </t>
    </r>
    <r>
      <rPr>
        <sz val="9"/>
        <color theme="1"/>
        <rFont val="맑은 고딕"/>
        <family val="2"/>
      </rPr>
      <t>최대일수는</t>
    </r>
    <r>
      <rPr>
        <sz val="9"/>
        <color theme="1"/>
        <rFont val="Calibri"/>
        <family val="2"/>
      </rPr>
      <t xml:space="preserve"> {4}</t>
    </r>
    <r>
      <rPr>
        <sz val="9"/>
        <color theme="1"/>
        <rFont val="맑은 고딕"/>
        <family val="2"/>
      </rPr>
      <t>일입니다</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XLGantt</t>
    </r>
    <r>
      <rPr>
        <sz val="9"/>
        <color theme="1"/>
        <rFont val="맑은 고딕"/>
        <family val="2"/>
      </rPr>
      <t>에서</t>
    </r>
    <r>
      <rPr>
        <sz val="9"/>
        <color theme="1"/>
        <rFont val="Calibri"/>
        <family val="2"/>
      </rPr>
      <t xml:space="preserve"> </t>
    </r>
    <r>
      <rPr>
        <sz val="9"/>
        <color theme="1"/>
        <rFont val="맑은 고딕"/>
        <family val="2"/>
      </rPr>
      <t>허용하는</t>
    </r>
    <r>
      <rPr>
        <sz val="9"/>
        <color theme="1"/>
        <rFont val="Calibri"/>
        <family val="2"/>
      </rPr>
      <t xml:space="preserve"> </t>
    </r>
    <r>
      <rPr>
        <sz val="9"/>
        <color theme="1"/>
        <rFont val="맑은 고딕"/>
        <family val="2"/>
      </rPr>
      <t>범위내로</t>
    </r>
    <r>
      <rPr>
        <sz val="9"/>
        <color theme="1"/>
        <rFont val="Calibri"/>
        <family val="2"/>
      </rPr>
      <t xml:space="preserve"> </t>
    </r>
    <r>
      <rPr>
        <sz val="9"/>
        <color theme="1"/>
        <rFont val="맑은 고딕"/>
        <family val="2"/>
      </rPr>
      <t>줄이십시오</t>
    </r>
    <r>
      <rPr>
        <sz val="9"/>
        <color theme="1"/>
        <rFont val="Calibri"/>
        <family val="2"/>
      </rPr>
      <t>.</t>
    </r>
  </si>
  <si>
    <t>Saturdays, Sundays and the dates entered in the Calendar sheet_x000D_</t>
    <phoneticPr fontId="2" type="noConversion"/>
  </si>
  <si>
    <r>
      <rPr>
        <sz val="9"/>
        <color theme="1"/>
        <rFont val="맑은 고딕"/>
        <family val="2"/>
      </rPr>
      <t>토요일</t>
    </r>
    <r>
      <rPr>
        <sz val="9"/>
        <color theme="1"/>
        <rFont val="Calibri"/>
        <family val="2"/>
      </rPr>
      <t>,</t>
    </r>
    <r>
      <rPr>
        <sz val="9"/>
        <color theme="1"/>
        <rFont val="맑은 고딕"/>
        <family val="2"/>
      </rPr>
      <t>일요일</t>
    </r>
    <r>
      <rPr>
        <sz val="9"/>
        <color theme="1"/>
        <rFont val="Calibri"/>
        <family val="2"/>
      </rPr>
      <t xml:space="preserve"> </t>
    </r>
    <r>
      <rPr>
        <sz val="9"/>
        <color theme="1"/>
        <rFont val="맑은 고딕"/>
        <family val="2"/>
      </rPr>
      <t>및</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날짜_x000D_</t>
    </r>
    <phoneticPr fontId="2" type="noConversion"/>
  </si>
  <si>
    <t xml:space="preserve">              From                      To</t>
  </si>
  <si>
    <r>
      <t xml:space="preserve"> Source</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Target</t>
    </r>
    <r>
      <rPr>
        <sz val="9"/>
        <color theme="1"/>
        <rFont val="맑은 고딕"/>
        <family val="2"/>
      </rPr>
      <t>필드</t>
    </r>
    <r>
      <rPr>
        <sz val="9"/>
        <color theme="1"/>
        <rFont val="Calibri"/>
        <family val="2"/>
      </rPr>
      <t xml:space="preserve"> </t>
    </r>
    <r>
      <rPr>
        <sz val="9"/>
        <color theme="1"/>
        <rFont val="맑은 고딕"/>
        <family val="2"/>
      </rPr>
      <t>명</t>
    </r>
  </si>
  <si>
    <t xml:space="preserve">           Field Name         Example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</si>
  <si>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값</t>
    </r>
    <r>
      <rPr>
        <sz val="9"/>
        <color theme="1"/>
        <rFont val="Calibri"/>
        <family val="2"/>
      </rPr>
      <t xml:space="preserve"> </t>
    </r>
    <r>
      <rPr>
        <sz val="9"/>
        <color theme="1"/>
        <rFont val="맑은 고딕"/>
        <family val="2"/>
      </rPr>
      <t>예시</t>
    </r>
  </si>
  <si>
    <t xml:space="preserve">       Field Name           Field Value</t>
  </si>
  <si>
    <r>
      <t xml:space="preserve"> </t>
    </r>
    <r>
      <rPr>
        <sz val="9"/>
        <color theme="1"/>
        <rFont val="맑은 고딕"/>
        <family val="2"/>
      </rPr>
      <t>필드</t>
    </r>
    <r>
      <rPr>
        <sz val="9"/>
        <color theme="1"/>
        <rFont val="Calibri"/>
        <family val="2"/>
      </rPr>
      <t xml:space="preserve"> </t>
    </r>
    <r>
      <rPr>
        <sz val="9"/>
        <color theme="1"/>
        <rFont val="맑은 고딕"/>
        <family val="2"/>
      </rPr>
      <t>명</t>
    </r>
    <r>
      <rPr>
        <sz val="9"/>
        <color theme="1"/>
        <rFont val="Calibri"/>
        <family val="2"/>
      </rPr>
      <t xml:space="preserve">                </t>
    </r>
    <r>
      <rPr>
        <sz val="9"/>
        <color theme="1"/>
        <rFont val="맑은 고딕"/>
        <family val="2"/>
      </rPr>
      <t>필드</t>
    </r>
    <r>
      <rPr>
        <sz val="9"/>
        <color theme="1"/>
        <rFont val="Calibri"/>
        <family val="2"/>
      </rPr>
      <t xml:space="preserve"> </t>
    </r>
    <r>
      <rPr>
        <sz val="9"/>
        <color theme="1"/>
        <rFont val="맑은 고딕"/>
        <family val="2"/>
      </rPr>
      <t>값</t>
    </r>
  </si>
  <si>
    <t xml:space="preserve"> Mapped</t>
  </si>
  <si>
    <r>
      <t xml:space="preserve"> Mapping</t>
    </r>
    <r>
      <rPr>
        <sz val="9"/>
        <color theme="1"/>
        <rFont val="맑은 고딕"/>
        <family val="2"/>
      </rPr>
      <t>된</t>
    </r>
    <r>
      <rPr>
        <sz val="9"/>
        <color theme="1"/>
        <rFont val="Calibri"/>
        <family val="2"/>
      </rPr>
      <t xml:space="preserve"> </t>
    </r>
    <r>
      <rPr>
        <sz val="9"/>
        <color theme="1"/>
        <rFont val="맑은 고딕"/>
        <family val="2"/>
      </rPr>
      <t>상태</t>
    </r>
  </si>
  <si>
    <t xml:space="preserve"> Setting nonworking days in the project calendar</t>
  </si>
  <si>
    <r>
      <t xml:space="preserve"> </t>
    </r>
    <r>
      <rPr>
        <sz val="9"/>
        <color theme="1"/>
        <rFont val="맑은 고딕"/>
        <family val="2"/>
      </rPr>
      <t>프로젝트</t>
    </r>
    <r>
      <rPr>
        <sz val="9"/>
        <color theme="1"/>
        <rFont val="Calibri"/>
        <family val="2"/>
      </rPr>
      <t xml:space="preserve"> </t>
    </r>
    <r>
      <rPr>
        <sz val="9"/>
        <color theme="1"/>
        <rFont val="맑은 고딕"/>
        <family val="2"/>
      </rPr>
      <t>휴무일</t>
    </r>
    <r>
      <rPr>
        <sz val="9"/>
        <color theme="1"/>
        <rFont val="Calibri"/>
        <family val="2"/>
      </rPr>
      <t xml:space="preserve"> Calendar </t>
    </r>
    <r>
      <rPr>
        <sz val="9"/>
        <color theme="1"/>
        <rFont val="맑은 고딕"/>
        <family val="2"/>
      </rPr>
      <t>설정</t>
    </r>
  </si>
  <si>
    <t>"%Work Complete" is invalid. Type a number between 0% and 100%.</t>
  </si>
  <si>
    <r>
      <rPr>
        <sz val="9"/>
        <color theme="1"/>
        <rFont val="맑은 고딕"/>
        <family val="2"/>
      </rPr>
      <t>실적진척율은</t>
    </r>
    <r>
      <rPr>
        <sz val="9"/>
        <color theme="1"/>
        <rFont val="Calibri"/>
        <family val="2"/>
      </rPr>
      <t xml:space="preserve"> 0~100% </t>
    </r>
    <r>
      <rPr>
        <sz val="9"/>
        <color theme="1"/>
        <rFont val="맑은 고딕"/>
        <family val="2"/>
      </rPr>
      <t>범위만</t>
    </r>
    <r>
      <rPr>
        <sz val="9"/>
        <color theme="1"/>
        <rFont val="Calibri"/>
        <family val="2"/>
      </rPr>
      <t xml:space="preserve"> </t>
    </r>
    <r>
      <rPr>
        <sz val="9"/>
        <color theme="1"/>
        <rFont val="맑은 고딕"/>
        <family val="2"/>
      </rPr>
      <t>입력가능합니다</t>
    </r>
    <r>
      <rPr>
        <sz val="9"/>
        <color theme="1"/>
        <rFont val="Calibri"/>
        <family val="2"/>
      </rPr>
      <t>.</t>
    </r>
  </si>
  <si>
    <t>"Outline level"(task Level) field. It displays the level of a task.Instead of "Outline level", you can use "WBS".</t>
  </si>
  <si>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 xml:space="preserve">. </t>
    </r>
    <r>
      <rPr>
        <sz val="9"/>
        <color theme="1"/>
        <rFont val="맑은 고딕"/>
        <family val="2"/>
      </rPr>
      <t>개요수준대신</t>
    </r>
    <r>
      <rPr>
        <sz val="9"/>
        <color theme="1"/>
        <rFont val="Calibri"/>
        <family val="2"/>
      </rPr>
      <t xml:space="preserve"> WBS</t>
    </r>
    <r>
      <rPr>
        <sz val="9"/>
        <color theme="1"/>
        <rFont val="맑은 고딕"/>
        <family val="2"/>
      </rPr>
      <t>필드</t>
    </r>
    <r>
      <rPr>
        <sz val="9"/>
        <color theme="1"/>
        <rFont val="Calibri"/>
        <family val="2"/>
      </rPr>
      <t xml:space="preserve">(1.3.2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t>
    </r>
    <r>
      <rPr>
        <sz val="9"/>
        <color theme="1"/>
        <rFont val="Calibri"/>
        <family val="2"/>
      </rPr>
      <t>)</t>
    </r>
    <r>
      <rPr>
        <sz val="9"/>
        <color theme="1"/>
        <rFont val="맑은 고딕"/>
        <family val="2"/>
      </rPr>
      <t>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t>
    </r>
  </si>
  <si>
    <t>"WBS"(Work Breakdown Structure) field. It displays the level of a task. Instead of WBS, you can use "Outline level".</t>
  </si>
  <si>
    <r>
      <t xml:space="preserve">WBS(Work Breakdown Structure) </t>
    </r>
    <r>
      <rPr>
        <sz val="9"/>
        <color theme="1"/>
        <rFont val="맑은 고딕"/>
        <family val="2"/>
      </rPr>
      <t>필드입니다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1.3.2 </t>
    </r>
    <r>
      <rPr>
        <sz val="9"/>
        <color theme="1"/>
        <rFont val="맑은 고딕"/>
        <family val="2"/>
      </rPr>
      <t>등의</t>
    </r>
    <r>
      <rPr>
        <sz val="9"/>
        <color theme="1"/>
        <rFont val="Calibri"/>
        <family val="2"/>
      </rPr>
      <t xml:space="preserve"> </t>
    </r>
    <r>
      <rPr>
        <sz val="9"/>
        <color theme="1"/>
        <rFont val="맑은 고딕"/>
        <family val="2"/>
      </rPr>
      <t>형식으로</t>
    </r>
    <r>
      <rPr>
        <sz val="9"/>
        <color theme="1"/>
        <rFont val="Calibri"/>
        <family val="2"/>
      </rPr>
      <t xml:space="preserve"> </t>
    </r>
    <r>
      <rPr>
        <sz val="9"/>
        <color theme="1"/>
        <rFont val="맑은 고딕"/>
        <family val="2"/>
      </rPr>
      <t>표시됩니다</t>
    </r>
    <r>
      <rPr>
        <sz val="9"/>
        <color theme="1"/>
        <rFont val="Calibri"/>
        <family val="2"/>
      </rPr>
      <t>. WBS</t>
    </r>
    <r>
      <rPr>
        <sz val="9"/>
        <color theme="1"/>
        <rFont val="맑은 고딕"/>
        <family val="2"/>
      </rPr>
      <t>대신</t>
    </r>
    <r>
      <rPr>
        <sz val="9"/>
        <color theme="1"/>
        <rFont val="Calibri"/>
        <family val="2"/>
      </rPr>
      <t xml:space="preserve"> </t>
    </r>
    <r>
      <rPr>
        <sz val="9"/>
        <color theme="1"/>
        <rFont val="맑은 고딕"/>
        <family val="2"/>
      </rPr>
      <t>개요수준</t>
    </r>
    <r>
      <rPr>
        <sz val="9"/>
        <color theme="1"/>
        <rFont val="Calibri"/>
        <family val="2"/>
      </rPr>
      <t>(</t>
    </r>
    <r>
      <rPr>
        <sz val="9"/>
        <color theme="1"/>
        <rFont val="맑은 고딕"/>
        <family val="2"/>
      </rPr>
      <t>작업</t>
    </r>
    <r>
      <rPr>
        <sz val="9"/>
        <color theme="1"/>
        <rFont val="Calibri"/>
        <family val="2"/>
      </rPr>
      <t>Level)</t>
    </r>
    <r>
      <rPr>
        <sz val="9"/>
        <color theme="1"/>
        <rFont val="맑은 고딕"/>
        <family val="2"/>
      </rPr>
      <t>필드를</t>
    </r>
    <r>
      <rPr>
        <sz val="9"/>
        <color theme="1"/>
        <rFont val="Calibri"/>
        <family val="2"/>
      </rPr>
      <t xml:space="preserve"> </t>
    </r>
    <r>
      <rPr>
        <sz val="9"/>
        <color theme="1"/>
        <rFont val="맑은 고딕"/>
        <family val="2"/>
      </rPr>
      <t>사용하기도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예를</t>
    </r>
    <r>
      <rPr>
        <sz val="9"/>
        <color theme="1"/>
        <rFont val="Calibri"/>
        <family val="2"/>
      </rPr>
      <t xml:space="preserve"> </t>
    </r>
    <r>
      <rPr>
        <sz val="9"/>
        <color theme="1"/>
        <rFont val="맑은 고딕"/>
        <family val="2"/>
      </rPr>
      <t>들어</t>
    </r>
    <r>
      <rPr>
        <sz val="9"/>
        <color theme="1"/>
        <rFont val="Calibri"/>
        <family val="2"/>
      </rPr>
      <t xml:space="preserve"> 2 Level</t>
    </r>
    <r>
      <rPr>
        <sz val="9"/>
        <color theme="1"/>
        <rFont val="맑은 고딕"/>
        <family val="2"/>
      </rPr>
      <t>의</t>
    </r>
    <r>
      <rPr>
        <sz val="9"/>
        <color theme="1"/>
        <rFont val="Calibri"/>
        <family val="2"/>
      </rPr>
      <t xml:space="preserve"> </t>
    </r>
    <r>
      <rPr>
        <sz val="9"/>
        <color theme="1"/>
        <rFont val="맑은 고딕"/>
        <family val="2"/>
      </rPr>
      <t>작업이면</t>
    </r>
    <r>
      <rPr>
        <sz val="9"/>
        <color theme="1"/>
        <rFont val="Calibri"/>
        <family val="2"/>
      </rPr>
      <t xml:space="preserve"> </t>
    </r>
    <r>
      <rPr>
        <sz val="9"/>
        <color theme="1"/>
        <rFont val="맑은 고딕"/>
        <family val="2"/>
      </rPr>
      <t>숫자</t>
    </r>
    <r>
      <rPr>
        <sz val="9"/>
        <color theme="1"/>
        <rFont val="Calibri"/>
        <family val="2"/>
      </rPr>
      <t xml:space="preserve"> 2</t>
    </r>
    <r>
      <rPr>
        <sz val="9"/>
        <color theme="1"/>
        <rFont val="맑은 고딕"/>
        <family val="2"/>
      </rPr>
      <t>로</t>
    </r>
    <r>
      <rPr>
        <sz val="9"/>
        <color theme="1"/>
        <rFont val="Calibri"/>
        <family val="2"/>
      </rPr>
      <t xml:space="preserve"> </t>
    </r>
    <r>
      <rPr>
        <sz val="9"/>
        <color theme="1"/>
        <rFont val="맑은 고딕"/>
        <family val="2"/>
      </rPr>
      <t>표시됩니다</t>
    </r>
    <r>
      <rPr>
        <sz val="9"/>
        <color theme="1"/>
        <rFont val="Calibri"/>
        <family val="2"/>
      </rPr>
      <t>.</t>
    </r>
  </si>
  <si>
    <t>%Work Complete</t>
  </si>
  <si>
    <r>
      <rPr>
        <sz val="9"/>
        <color theme="1"/>
        <rFont val="맑은 고딕"/>
        <family val="2"/>
      </rPr>
      <t>실적진척율</t>
    </r>
  </si>
  <si>
    <t>%Work Complete(B)</t>
  </si>
  <si>
    <r>
      <rPr>
        <sz val="9"/>
        <color theme="1"/>
        <rFont val="맑은 고딕"/>
        <family val="2"/>
      </rPr>
      <t>실적</t>
    </r>
    <r>
      <rPr>
        <sz val="9"/>
        <color theme="1"/>
        <rFont val="Calibri"/>
        <family val="2"/>
      </rPr>
      <t xml:space="preserve"> </t>
    </r>
    <r>
      <rPr>
        <sz val="9"/>
        <color theme="1"/>
        <rFont val="맑은 고딕"/>
        <family val="2"/>
      </rPr>
      <t>진척율</t>
    </r>
    <r>
      <rPr>
        <sz val="9"/>
        <color theme="1"/>
        <rFont val="Calibri"/>
        <family val="2"/>
      </rPr>
      <t>(B)</t>
    </r>
  </si>
  <si>
    <t>%Work Complete(C/A)</t>
  </si>
  <si>
    <r>
      <rPr>
        <sz val="9"/>
        <color theme="1"/>
        <rFont val="맑은 고딕"/>
        <family val="2"/>
      </rPr>
      <t>실적</t>
    </r>
    <r>
      <rPr>
        <sz val="9"/>
        <color theme="1"/>
        <rFont val="Calibri"/>
        <family val="2"/>
      </rPr>
      <t>(C/A)</t>
    </r>
  </si>
  <si>
    <t>for import columun</t>
    <phoneticPr fontId="8" type="noConversion"/>
  </si>
  <si>
    <t>%Work__Complete</t>
    <phoneticPr fontId="8" type="noConversion"/>
  </si>
  <si>
    <r>
      <rPr>
        <sz val="9"/>
        <color theme="1"/>
        <rFont val="돋움"/>
        <family val="3"/>
        <charset val="129"/>
      </rPr>
      <t>실적</t>
    </r>
  </si>
  <si>
    <t>%Work\nComplete</t>
  </si>
  <si>
    <r>
      <rPr>
        <sz val="9"/>
        <color theme="1"/>
        <rFont val="맑은 고딕"/>
        <family val="2"/>
      </rPr>
      <t>실적</t>
    </r>
  </si>
  <si>
    <t>* Automactically calulated if you click the "Update Schedule" button</t>
  </si>
  <si>
    <r>
      <t>* "</t>
    </r>
    <r>
      <rPr>
        <sz val="9"/>
        <color theme="1"/>
        <rFont val="맑은 고딕"/>
        <family val="2"/>
      </rPr>
      <t>스케줄업데이트</t>
    </r>
    <r>
      <rPr>
        <sz val="9"/>
        <color theme="1"/>
        <rFont val="Calibri"/>
        <family val="2"/>
      </rPr>
      <t xml:space="preserve">" </t>
    </r>
    <r>
      <rPr>
        <sz val="9"/>
        <color theme="1"/>
        <rFont val="맑은 고딕"/>
        <family val="2"/>
      </rPr>
      <t>버튼</t>
    </r>
    <r>
      <rPr>
        <sz val="9"/>
        <color theme="1"/>
        <rFont val="Calibri"/>
        <family val="2"/>
      </rPr>
      <t xml:space="preserve"> </t>
    </r>
    <r>
      <rPr>
        <sz val="9"/>
        <color theme="1"/>
        <rFont val="맑은 고딕"/>
        <family val="2"/>
      </rPr>
      <t>클릭</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아래</t>
    </r>
    <r>
      <rPr>
        <sz val="9"/>
        <color theme="1"/>
        <rFont val="Calibri"/>
        <family val="2"/>
      </rPr>
      <t xml:space="preserve"> </t>
    </r>
    <r>
      <rPr>
        <sz val="9"/>
        <color theme="1"/>
        <rFont val="맑은 고딕"/>
        <family val="2"/>
      </rPr>
      <t>항목이</t>
    </r>
    <r>
      <rPr>
        <sz val="9"/>
        <color theme="1"/>
        <rFont val="Calibri"/>
        <family val="2"/>
      </rPr>
      <t xml:space="preserve"> </t>
    </r>
    <r>
      <rPr>
        <sz val="9"/>
        <color theme="1"/>
        <rFont val="맑은 고딕"/>
        <family val="2"/>
      </rPr>
      <t>자동계산됩니다</t>
    </r>
    <r>
      <rPr>
        <sz val="9"/>
        <color theme="1"/>
        <rFont val="Calibri"/>
        <family val="2"/>
      </rPr>
      <t>.</t>
    </r>
  </si>
  <si>
    <t>* Choose a language</t>
  </si>
  <si>
    <r>
      <t xml:space="preserve">* </t>
    </r>
    <r>
      <rPr>
        <sz val="9"/>
        <color theme="1"/>
        <rFont val="맑은 고딕"/>
        <family val="2"/>
      </rPr>
      <t>언어를</t>
    </r>
    <r>
      <rPr>
        <sz val="9"/>
        <color theme="1"/>
        <rFont val="Calibri"/>
        <family val="2"/>
      </rPr>
      <t xml:space="preserve"> </t>
    </r>
    <r>
      <rPr>
        <sz val="9"/>
        <color theme="1"/>
        <rFont val="맑은 고딕"/>
        <family val="2"/>
      </rPr>
      <t>선택하세요</t>
    </r>
  </si>
  <si>
    <t>* Common Excel file, Not XLGantt file\n   (First row is title,from second rows are contents)\n* You can import only one file at once.</t>
  </si>
  <si>
    <r>
      <t xml:space="preserve">*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Excel</t>
    </r>
    <r>
      <rPr>
        <sz val="9"/>
        <color theme="1"/>
        <rFont val="맑은 고딕"/>
        <family val="2"/>
      </rPr>
      <t>파일</t>
    </r>
    <r>
      <rPr>
        <sz val="9"/>
        <color theme="1"/>
        <rFont val="Calibri"/>
        <family val="2"/>
      </rPr>
      <t>(1</t>
    </r>
    <r>
      <rPr>
        <sz val="9"/>
        <color theme="1"/>
        <rFont val="맑은 고딕"/>
        <family val="2"/>
      </rPr>
      <t>행은</t>
    </r>
    <r>
      <rPr>
        <sz val="9"/>
        <color theme="1"/>
        <rFont val="Calibri"/>
        <family val="2"/>
      </rPr>
      <t xml:space="preserve"> </t>
    </r>
    <r>
      <rPr>
        <sz val="9"/>
        <color theme="1"/>
        <rFont val="맑은 고딕"/>
        <family val="2"/>
      </rPr>
      <t>제목</t>
    </r>
    <r>
      <rPr>
        <sz val="9"/>
        <color theme="1"/>
        <rFont val="Calibri"/>
        <family val="2"/>
      </rPr>
      <t>, 2</t>
    </r>
    <r>
      <rPr>
        <sz val="9"/>
        <color theme="1"/>
        <rFont val="맑은 고딕"/>
        <family val="2"/>
      </rPr>
      <t>행부터</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파일</t>
    </r>
    <r>
      <rPr>
        <sz val="9"/>
        <color theme="1"/>
        <rFont val="Calibri"/>
        <family val="2"/>
      </rPr>
      <t xml:space="preserve">)\n* </t>
    </r>
    <r>
      <rPr>
        <sz val="9"/>
        <color theme="1"/>
        <rFont val="맑은 고딕"/>
        <family val="2"/>
      </rPr>
      <t>자료갯수</t>
    </r>
    <r>
      <rPr>
        <sz val="9"/>
        <color theme="1"/>
        <rFont val="Calibri"/>
        <family val="2"/>
      </rPr>
      <t xml:space="preserve"> </t>
    </r>
    <r>
      <rPr>
        <sz val="9"/>
        <color theme="1"/>
        <rFont val="맑은 고딕"/>
        <family val="2"/>
      </rPr>
      <t>제한</t>
    </r>
    <r>
      <rPr>
        <sz val="9"/>
        <color theme="1"/>
        <rFont val="Calibri"/>
        <family val="2"/>
      </rPr>
      <t xml:space="preserve"> </t>
    </r>
    <r>
      <rPr>
        <sz val="9"/>
        <color theme="1"/>
        <rFont val="맑은 고딕"/>
        <family val="2"/>
      </rPr>
      <t>없음</t>
    </r>
    <r>
      <rPr>
        <sz val="9"/>
        <color theme="1"/>
        <rFont val="Calibri"/>
        <family val="2"/>
      </rPr>
      <t xml:space="preserve">\n* </t>
    </r>
    <r>
      <rPr>
        <sz val="9"/>
        <color theme="1"/>
        <rFont val="맑은 고딕"/>
        <family val="2"/>
      </rPr>
      <t>한번에</t>
    </r>
    <r>
      <rPr>
        <sz val="9"/>
        <color theme="1"/>
        <rFont val="Calibri"/>
        <family val="2"/>
      </rPr>
      <t xml:space="preserve"> </t>
    </r>
    <r>
      <rPr>
        <sz val="9"/>
        <color theme="1"/>
        <rFont val="맑은 고딕"/>
        <family val="2"/>
      </rPr>
      <t>한개의</t>
    </r>
    <r>
      <rPr>
        <sz val="9"/>
        <color theme="1"/>
        <rFont val="Calibri"/>
        <family val="2"/>
      </rPr>
      <t xml:space="preserve"> </t>
    </r>
    <r>
      <rPr>
        <sz val="9"/>
        <color theme="1"/>
        <rFont val="맑은 고딕"/>
        <family val="2"/>
      </rPr>
      <t>파일만</t>
    </r>
    <r>
      <rPr>
        <sz val="9"/>
        <color theme="1"/>
        <rFont val="Calibri"/>
        <family val="2"/>
      </rPr>
      <t xml:space="preserve"> </t>
    </r>
    <r>
      <rPr>
        <sz val="9"/>
        <color theme="1"/>
        <rFont val="맑은 고딕"/>
        <family val="2"/>
      </rPr>
      <t>처리됨</t>
    </r>
  </si>
  <si>
    <t>* This sheet shows you planned project progresses by weeks.</t>
  </si>
  <si>
    <r>
      <t xml:space="preserve">* </t>
    </r>
    <r>
      <rPr>
        <sz val="9"/>
        <color theme="1"/>
        <rFont val="맑은 고딕"/>
        <family val="2"/>
      </rPr>
      <t>주별로</t>
    </r>
    <r>
      <rPr>
        <sz val="9"/>
        <color theme="1"/>
        <rFont val="Calibri"/>
        <family val="2"/>
      </rPr>
      <t xml:space="preserve"> </t>
    </r>
    <r>
      <rPr>
        <sz val="9"/>
        <color theme="1"/>
        <rFont val="맑은 고딕"/>
        <family val="2"/>
      </rPr>
      <t>프로젝트의</t>
    </r>
    <r>
      <rPr>
        <sz val="9"/>
        <color theme="1"/>
        <rFont val="Calibri"/>
        <family val="2"/>
      </rPr>
      <t xml:space="preserve"> </t>
    </r>
    <r>
      <rPr>
        <sz val="9"/>
        <color theme="1"/>
        <rFont val="맑은 고딕"/>
        <family val="2"/>
      </rPr>
      <t>계획진적율을</t>
    </r>
    <r>
      <rPr>
        <sz val="9"/>
        <color theme="1"/>
        <rFont val="Calibri"/>
        <family val="2"/>
      </rPr>
      <t xml:space="preserve"> </t>
    </r>
    <r>
      <rPr>
        <sz val="9"/>
        <color theme="1"/>
        <rFont val="맑은 고딕"/>
        <family val="2"/>
      </rPr>
      <t>보여줍니다</t>
    </r>
    <r>
      <rPr>
        <sz val="9"/>
        <color theme="1"/>
        <rFont val="Calibri"/>
        <family val="2"/>
      </rPr>
      <t>.</t>
    </r>
  </si>
  <si>
    <t>* This sheet shows you tasks, workloads, progresses(%Work complete), etc by resources.</t>
  </si>
  <si>
    <r>
      <t xml:space="preserve">* </t>
    </r>
    <r>
      <rPr>
        <sz val="9"/>
        <color theme="1"/>
        <rFont val="맑은 고딕"/>
        <family val="2"/>
      </rPr>
      <t>담당별로</t>
    </r>
    <r>
      <rPr>
        <sz val="9"/>
        <color theme="1"/>
        <rFont val="Calibri"/>
        <family val="2"/>
      </rPr>
      <t xml:space="preserve"> </t>
    </r>
    <r>
      <rPr>
        <sz val="9"/>
        <color theme="1"/>
        <rFont val="맑은 고딕"/>
        <family val="2"/>
      </rPr>
      <t>투입된</t>
    </r>
    <r>
      <rPr>
        <sz val="9"/>
        <color theme="1"/>
        <rFont val="Calibri"/>
        <family val="2"/>
      </rPr>
      <t xml:space="preserve"> Task</t>
    </r>
    <r>
      <rPr>
        <sz val="9"/>
        <color theme="1"/>
        <rFont val="맑은 고딕"/>
        <family val="2"/>
      </rPr>
      <t>와</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계획작업량</t>
    </r>
    <r>
      <rPr>
        <sz val="9"/>
        <color theme="1"/>
        <rFont val="Calibri"/>
        <family val="2"/>
      </rPr>
      <t xml:space="preserve">, </t>
    </r>
    <r>
      <rPr>
        <sz val="9"/>
        <color theme="1"/>
        <rFont val="맑은 고딕"/>
        <family val="2"/>
      </rPr>
      <t>진척작업을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보여주고</t>
    </r>
    <r>
      <rPr>
        <sz val="9"/>
        <color theme="1"/>
        <rFont val="Calibri"/>
        <family val="2"/>
      </rPr>
      <t xml:space="preserve">, </t>
    </r>
    <r>
      <rPr>
        <sz val="9"/>
        <color theme="1"/>
        <rFont val="맑은 고딕"/>
        <family val="2"/>
      </rPr>
      <t>계획</t>
    </r>
    <r>
      <rPr>
        <sz val="9"/>
        <color theme="1"/>
        <rFont val="Calibri"/>
        <family val="2"/>
      </rPr>
      <t>/</t>
    </r>
    <r>
      <rPr>
        <sz val="9"/>
        <color theme="1"/>
        <rFont val="맑은 고딕"/>
        <family val="2"/>
      </rPr>
      <t>실적</t>
    </r>
    <r>
      <rPr>
        <sz val="9"/>
        <color theme="1"/>
        <rFont val="Calibri"/>
        <family val="2"/>
      </rPr>
      <t xml:space="preserve"> </t>
    </r>
    <r>
      <rPr>
        <sz val="9"/>
        <color theme="1"/>
        <rFont val="맑은 고딕"/>
        <family val="2"/>
      </rPr>
      <t>진행율을</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</si>
  <si>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resources.</t>
  </si>
  <si>
    <r>
      <t xml:space="preserve">* </t>
    </r>
    <r>
      <rPr>
        <sz val="9"/>
        <color theme="1"/>
        <rFont val="맑은 고딕"/>
        <family val="2"/>
      </rPr>
      <t>담당별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</si>
  <si>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allocations by weeks or months.</t>
  </si>
  <si>
    <r>
      <t xml:space="preserve">* </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월별</t>
    </r>
    <r>
      <rPr>
        <sz val="9"/>
        <color theme="1"/>
        <rFont val="Calibri"/>
        <family val="2"/>
      </rPr>
      <t xml:space="preserve"> Workload</t>
    </r>
    <r>
      <rPr>
        <sz val="9"/>
        <color theme="1"/>
        <rFont val="맑은 고딕"/>
        <family val="2"/>
      </rPr>
      <t>를</t>
    </r>
    <r>
      <rPr>
        <sz val="9"/>
        <color theme="1"/>
        <rFont val="Calibri"/>
        <family val="2"/>
      </rPr>
      <t xml:space="preserve"> </t>
    </r>
    <r>
      <rPr>
        <sz val="9"/>
        <color theme="1"/>
        <rFont val="맑은 고딕"/>
        <family val="2"/>
      </rPr>
      <t>보여줍니다</t>
    </r>
    <r>
      <rPr>
        <sz val="9"/>
        <color theme="1"/>
        <rFont val="Calibri"/>
        <family val="2"/>
      </rPr>
      <t>.</t>
    </r>
  </si>
  <si>
    <t>* This sheet shows you workload and %Work complete.</t>
  </si>
  <si>
    <r>
      <t xml:space="preserve">* </t>
    </r>
    <r>
      <rPr>
        <sz val="9"/>
        <color theme="1"/>
        <rFont val="맑은 고딕"/>
        <family val="2"/>
      </rPr>
      <t>프로젝트</t>
    </r>
    <r>
      <rPr>
        <sz val="9"/>
        <color theme="1"/>
        <rFont val="Calibri"/>
        <family val="2"/>
      </rPr>
      <t xml:space="preserve"> </t>
    </r>
    <r>
      <rPr>
        <sz val="9"/>
        <color theme="1"/>
        <rFont val="맑은 고딕"/>
        <family val="2"/>
      </rPr>
      <t>작업량과</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보여줍니다</t>
    </r>
    <r>
      <rPr>
        <sz val="9"/>
        <color theme="1"/>
        <rFont val="Calibri"/>
        <family val="2"/>
      </rPr>
      <t>.</t>
    </r>
  </si>
  <si>
    <t>* You need to click the "Planned Progress" button to update the contents.</t>
  </si>
  <si>
    <r>
      <t>* "</t>
    </r>
    <r>
      <rPr>
        <sz val="9"/>
        <color theme="1"/>
        <rFont val="맑은 고딕"/>
        <family val="2"/>
      </rPr>
      <t>계획진척율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갱신됨</t>
    </r>
  </si>
  <si>
    <t>* You need to click the "Progresses by Resources" button to update contents.</t>
  </si>
  <si>
    <r>
      <t>* "</t>
    </r>
    <r>
      <rPr>
        <sz val="9"/>
        <color theme="1"/>
        <rFont val="맑은 고딕"/>
        <family val="2"/>
      </rPr>
      <t>담당별진행율</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</si>
  <si>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Resources" button to update the contents.</t>
  </si>
  <si>
    <r>
      <t>* "Workload(</t>
    </r>
    <r>
      <rPr>
        <sz val="9"/>
        <color theme="1"/>
        <rFont val="맑은 고딕"/>
        <family val="2"/>
      </rPr>
      <t>담당별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</si>
  <si>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 You need to click the "Workloads by Weeks" or "Workloads by Months" button to update the contents.</t>
  </si>
  <si>
    <r>
      <t>* "Workload(</t>
    </r>
    <r>
      <rPr>
        <sz val="9"/>
        <color theme="1"/>
        <rFont val="맑은 고딕"/>
        <family val="2"/>
      </rPr>
      <t>주별</t>
    </r>
    <r>
      <rPr>
        <sz val="9"/>
        <color theme="1"/>
        <rFont val="Calibri"/>
        <family val="2"/>
      </rPr>
      <t xml:space="preserve">)" </t>
    </r>
    <r>
      <rPr>
        <sz val="9"/>
        <color theme="1"/>
        <rFont val="맑은 고딕"/>
        <family val="2"/>
      </rPr>
      <t>또는</t>
    </r>
    <r>
      <rPr>
        <sz val="9"/>
        <color theme="1"/>
        <rFont val="Calibri"/>
        <family val="2"/>
      </rPr>
      <t xml:space="preserve"> "Workload(</t>
    </r>
    <r>
      <rPr>
        <sz val="9"/>
        <color theme="1"/>
        <rFont val="맑은 고딕"/>
        <family val="2"/>
      </rPr>
      <t>월별</t>
    </r>
    <r>
      <rPr>
        <sz val="9"/>
        <color theme="1"/>
        <rFont val="Calibri"/>
        <family val="2"/>
      </rPr>
      <t xml:space="preserve">)" </t>
    </r>
    <r>
      <rPr>
        <sz val="9"/>
        <color theme="1"/>
        <rFont val="맑은 고딕"/>
        <family val="2"/>
      </rPr>
      <t>메뉴를</t>
    </r>
    <r>
      <rPr>
        <sz val="9"/>
        <color theme="1"/>
        <rFont val="Calibri"/>
        <family val="2"/>
      </rPr>
      <t xml:space="preserve"> </t>
    </r>
    <r>
      <rPr>
        <sz val="9"/>
        <color theme="1"/>
        <rFont val="맑은 고딕"/>
        <family val="2"/>
      </rPr>
      <t>클릭해야</t>
    </r>
    <r>
      <rPr>
        <sz val="9"/>
        <color theme="1"/>
        <rFont val="Calibri"/>
        <family val="2"/>
      </rPr>
      <t xml:space="preserve"> </t>
    </r>
    <r>
      <rPr>
        <sz val="9"/>
        <color theme="1"/>
        <rFont val="맑은 고딕"/>
        <family val="2"/>
      </rPr>
      <t>내용이</t>
    </r>
    <r>
      <rPr>
        <sz val="9"/>
        <color theme="1"/>
        <rFont val="Calibri"/>
        <family val="2"/>
      </rPr>
      <t xml:space="preserve"> </t>
    </r>
    <r>
      <rPr>
        <sz val="9"/>
        <color theme="1"/>
        <rFont val="맑은 고딕"/>
        <family val="2"/>
      </rPr>
      <t>갱신됩니다</t>
    </r>
    <r>
      <rPr>
        <sz val="9"/>
        <color theme="1"/>
        <rFont val="Calibri"/>
        <family val="2"/>
      </rPr>
      <t>.</t>
    </r>
  </si>
  <si>
    <t>[Resources unspecified]</t>
  </si>
  <si>
    <r>
      <t>[</t>
    </r>
    <r>
      <rPr>
        <sz val="9"/>
        <color theme="1"/>
        <rFont val="맑은 고딕"/>
        <family val="2"/>
      </rPr>
      <t>담당자미지정</t>
    </r>
    <r>
      <rPr>
        <sz val="9"/>
        <color theme="1"/>
        <rFont val="Calibri"/>
        <family val="2"/>
      </rPr>
      <t>]</t>
    </r>
  </si>
  <si>
    <t>{} "Outlook Appointment(s)" have been added.</t>
  </si>
  <si>
    <r>
      <t>Outlook</t>
    </r>
    <r>
      <rPr>
        <sz val="9"/>
        <color theme="1"/>
        <rFont val="맑은 고딕"/>
        <family val="2"/>
      </rPr>
      <t>일정이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</si>
  <si>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"Outlook Task(s)" have been added.</t>
  </si>
  <si>
    <r>
      <t>Outlook</t>
    </r>
    <r>
      <rPr>
        <sz val="9"/>
        <color theme="1"/>
        <rFont val="맑은 고딕"/>
        <family val="2"/>
      </rPr>
      <t>작업이</t>
    </r>
    <r>
      <rPr>
        <sz val="9"/>
        <color theme="1"/>
        <rFont val="Calibri"/>
        <family val="2"/>
      </rPr>
      <t xml:space="preserve"> {}</t>
    </r>
    <r>
      <rPr>
        <sz val="9"/>
        <color theme="1"/>
        <rFont val="맑은 고딕"/>
        <family val="2"/>
      </rPr>
      <t>건</t>
    </r>
    <r>
      <rPr>
        <sz val="9"/>
        <color theme="1"/>
        <rFont val="Calibri"/>
        <family val="2"/>
      </rPr>
      <t xml:space="preserve"> </t>
    </r>
    <r>
      <rPr>
        <sz val="9"/>
        <color theme="1"/>
        <rFont val="맑은 고딕"/>
        <family val="2"/>
      </rPr>
      <t>등록되었습니다</t>
    </r>
    <r>
      <rPr>
        <sz val="9"/>
        <color theme="1"/>
        <rFont val="Calibri"/>
        <family val="2"/>
      </rPr>
      <t>.</t>
    </r>
  </si>
  <si>
    <t>{} file does not exist.</t>
  </si>
  <si>
    <r>
      <t xml:space="preserve">{} </t>
    </r>
    <r>
      <rPr>
        <sz val="9"/>
        <color theme="1"/>
        <rFont val="맑은 고딕"/>
        <family val="2"/>
      </rPr>
      <t>파일이</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</si>
  <si>
    <t>&lt;&lt; Remove</t>
  </si>
  <si>
    <r>
      <t xml:space="preserve">&lt;&lt; </t>
    </r>
    <r>
      <rPr>
        <sz val="9"/>
        <color theme="1"/>
        <rFont val="맑은 고딕"/>
        <family val="2"/>
      </rPr>
      <t>제거</t>
    </r>
  </si>
  <si>
    <t>&lt;&lt; Unmap</t>
  </si>
  <si>
    <r>
      <t>&lt;&lt; Mapping</t>
    </r>
    <r>
      <rPr>
        <sz val="9"/>
        <color theme="1"/>
        <rFont val="맑은 고딕"/>
        <family val="2"/>
      </rPr>
      <t>취소</t>
    </r>
  </si>
  <si>
    <t>12/1/2018</t>
  </si>
  <si>
    <t>12/31/2018</t>
  </si>
  <si>
    <t>About</t>
  </si>
  <si>
    <t>Accumulated\nMan-Day</t>
  </si>
  <si>
    <r>
      <rPr>
        <sz val="9"/>
        <color theme="1"/>
        <rFont val="맑은 고딕"/>
        <family val="2"/>
      </rPr>
      <t>누적</t>
    </r>
    <r>
      <rPr>
        <sz val="9"/>
        <color theme="1"/>
        <rFont val="Calibri"/>
        <family val="2"/>
      </rPr>
      <t>\nMan-Day</t>
    </r>
  </si>
  <si>
    <t>manual input</t>
    <phoneticPr fontId="2" type="noConversion"/>
  </si>
  <si>
    <t>Actual</t>
    <phoneticPr fontId="2" type="noConversion"/>
  </si>
  <si>
    <t>실적</t>
    <phoneticPr fontId="2" type="noConversion"/>
  </si>
  <si>
    <t>Actual %Complete is invalid. Enter a number only. Verify row {} of the source file.</t>
  </si>
  <si>
    <r>
      <rPr>
        <sz val="9"/>
        <color theme="1"/>
        <rFont val="맑은 고딕"/>
        <family val="2"/>
      </rPr>
      <t>실적진척율에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</si>
  <si>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</si>
  <si>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실적진척율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</si>
  <si>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Actual Finish</t>
  </si>
  <si>
    <r>
      <rPr>
        <sz val="9"/>
        <color theme="1"/>
        <rFont val="맑은 고딕"/>
        <family val="2"/>
      </rPr>
      <t>실제완료일</t>
    </r>
  </si>
  <si>
    <t>Actual Finish Date</t>
  </si>
  <si>
    <r>
      <rPr>
        <sz val="9"/>
        <color theme="1"/>
        <rFont val="맑은 고딕"/>
        <family val="2"/>
      </rPr>
      <t>실제완료일자</t>
    </r>
  </si>
  <si>
    <t>Actual 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</si>
  <si>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실제종료일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</si>
  <si>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finish date is invalid.</t>
  </si>
  <si>
    <r>
      <rPr>
        <sz val="9"/>
        <color theme="1"/>
        <rFont val="맑은 고딕"/>
        <family val="2"/>
      </rPr>
      <t>실제완료일의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</si>
  <si>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finish date is invalid. Verify row {} of the source file.</t>
  </si>
  <si>
    <r>
      <rPr>
        <sz val="9"/>
        <color theme="1"/>
        <rFont val="맑은 고딕"/>
        <family val="2"/>
      </rPr>
      <t>실제완료일자에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</si>
  <si>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progress rate(%Work Complete) field.</t>
  </si>
  <si>
    <r>
      <rPr>
        <sz val="9"/>
        <color theme="1"/>
        <rFont val="맑은 고딕"/>
        <family val="2"/>
      </rPr>
      <t>실제진척율</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진척된</t>
    </r>
    <r>
      <rPr>
        <sz val="9"/>
        <color theme="1"/>
        <rFont val="Calibri"/>
        <family val="2"/>
      </rPr>
      <t xml:space="preserve"> </t>
    </r>
    <r>
      <rPr>
        <sz val="9"/>
        <color theme="1"/>
        <rFont val="맑은 고딕"/>
        <family val="2"/>
      </rPr>
      <t>작업량을</t>
    </r>
    <r>
      <rPr>
        <sz val="9"/>
        <color theme="1"/>
        <rFont val="Calibri"/>
        <family val="2"/>
      </rPr>
      <t xml:space="preserve"> %</t>
    </r>
    <r>
      <rPr>
        <sz val="9"/>
        <color theme="1"/>
        <rFont val="맑은 고딕"/>
        <family val="2"/>
      </rPr>
      <t>로</t>
    </r>
    <r>
      <rPr>
        <sz val="9"/>
        <color theme="1"/>
        <rFont val="Calibri"/>
        <family val="2"/>
      </rPr>
      <t xml:space="preserve"> </t>
    </r>
    <r>
      <rPr>
        <sz val="9"/>
        <color theme="1"/>
        <rFont val="맑은 고딕"/>
        <family val="2"/>
      </rPr>
      <t>표현합니다</t>
    </r>
    <r>
      <rPr>
        <sz val="9"/>
        <color theme="1"/>
        <rFont val="Calibri"/>
        <family val="2"/>
      </rPr>
      <t>.</t>
    </r>
  </si>
  <si>
    <t>Actual Start</t>
  </si>
  <si>
    <r>
      <rPr>
        <sz val="9"/>
        <color theme="1"/>
        <rFont val="맑은 고딕"/>
        <family val="2"/>
      </rPr>
      <t>실제시작일</t>
    </r>
  </si>
  <si>
    <t>Actual Start Date</t>
  </si>
  <si>
    <r>
      <rPr>
        <sz val="9"/>
        <color theme="1"/>
        <rFont val="맑은 고딕"/>
        <family val="2"/>
      </rPr>
      <t>실제시작일자</t>
    </r>
  </si>
  <si>
    <t>Actual 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</si>
  <si>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실제시작일을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</si>
  <si>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Actual start date is invalid.</t>
  </si>
  <si>
    <r>
      <rPr>
        <sz val="9"/>
        <color theme="1"/>
        <rFont val="맑은 고딕"/>
        <family val="2"/>
      </rPr>
      <t>실제시작일의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</si>
  <si>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Actual start date is invalid. Verify row {} of the source file.</t>
  </si>
  <si>
    <r>
      <rPr>
        <sz val="9"/>
        <color theme="1"/>
        <rFont val="맑은 고딕"/>
        <family val="2"/>
      </rPr>
      <t>실제시작일자에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</si>
  <si>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Actual Total Work\nMan-day</t>
  </si>
  <si>
    <r>
      <rPr>
        <sz val="9"/>
        <color theme="1"/>
        <rFont val="맑은 고딕"/>
        <family val="2"/>
      </rPr>
      <t>실제</t>
    </r>
    <r>
      <rPr>
        <sz val="9"/>
        <color theme="1"/>
        <rFont val="Calibri"/>
        <family val="2"/>
      </rPr>
      <t xml:space="preserve"> </t>
    </r>
    <r>
      <rPr>
        <sz val="9"/>
        <color theme="1"/>
        <rFont val="맑은 고딕"/>
        <family val="2"/>
      </rPr>
      <t>총작업량</t>
    </r>
    <r>
      <rPr>
        <sz val="9"/>
        <color theme="1"/>
        <rFont val="Calibri"/>
        <family val="2"/>
      </rPr>
      <t>\nMan-day</t>
    </r>
  </si>
  <si>
    <t>Actual Total__Duration</t>
    <phoneticPr fontId="8" type="noConversion"/>
  </si>
  <si>
    <r>
      <rPr>
        <sz val="9"/>
        <color theme="1"/>
        <rFont val="돋움"/>
        <family val="3"/>
        <charset val="129"/>
      </rPr>
      <t>실제</t>
    </r>
    <r>
      <rPr>
        <sz val="9"/>
        <color theme="1"/>
        <rFont val="Calibri"/>
        <family val="2"/>
      </rPr>
      <t xml:space="preserve"> </t>
    </r>
    <r>
      <rPr>
        <sz val="9"/>
        <color theme="1"/>
        <rFont val="돋움"/>
        <family val="3"/>
        <charset val="129"/>
      </rPr>
      <t>총기간</t>
    </r>
    <r>
      <rPr>
        <sz val="9"/>
        <color theme="1"/>
        <rFont val="Calibri"/>
        <family val="2"/>
      </rPr>
      <t>__(</t>
    </r>
    <r>
      <rPr>
        <sz val="9"/>
        <color theme="1"/>
        <rFont val="돋움"/>
        <family val="3"/>
        <charset val="129"/>
      </rPr>
      <t>전체</t>
    </r>
    <r>
      <rPr>
        <sz val="9"/>
        <color theme="1"/>
        <rFont val="Calibri"/>
        <family val="2"/>
      </rPr>
      <t xml:space="preserve"> </t>
    </r>
    <r>
      <rPr>
        <sz val="9"/>
        <color theme="1"/>
        <rFont val="돋움"/>
        <family val="3"/>
        <charset val="129"/>
      </rPr>
      <t>기간</t>
    </r>
    <r>
      <rPr>
        <sz val="9"/>
        <color theme="1"/>
        <rFont val="Calibri"/>
        <family val="2"/>
      </rPr>
      <t>)</t>
    </r>
    <phoneticPr fontId="8" type="noConversion"/>
  </si>
  <si>
    <t>Actual Total\nDuration</t>
  </si>
  <si>
    <r>
      <t>실제</t>
    </r>
    <r>
      <rPr>
        <sz val="10"/>
        <color theme="1"/>
        <rFont val="Calibri"/>
        <family val="2"/>
      </rPr>
      <t>\n</t>
    </r>
    <r>
      <rPr>
        <sz val="10"/>
        <color theme="1"/>
        <rFont val="돋움"/>
        <family val="3"/>
        <charset val="129"/>
      </rPr>
      <t>총기간</t>
    </r>
  </si>
  <si>
    <t>Actual Total\nWork(Total\nManDay)</t>
  </si>
  <si>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8" type="noConversion"/>
  </si>
  <si>
    <t>Actual__Finish</t>
    <phoneticPr fontId="8" type="noConversion"/>
  </si>
  <si>
    <r>
      <rPr>
        <sz val="9"/>
        <color theme="1"/>
        <rFont val="돋움"/>
        <family val="3"/>
        <charset val="129"/>
      </rPr>
      <t>실제</t>
    </r>
    <r>
      <rPr>
        <sz val="9"/>
        <color theme="1"/>
        <rFont val="Calibri"/>
        <family val="2"/>
      </rPr>
      <t>__</t>
    </r>
    <r>
      <rPr>
        <sz val="9"/>
        <color theme="1"/>
        <rFont val="돋움"/>
        <family val="3"/>
        <charset val="129"/>
      </rPr>
      <t>완료일</t>
    </r>
    <phoneticPr fontId="8" type="noConversion"/>
  </si>
  <si>
    <t>Actual__Start</t>
    <phoneticPr fontId="8" type="noConversion"/>
  </si>
  <si>
    <r>
      <rPr>
        <sz val="9"/>
        <color theme="1"/>
        <rFont val="돋움"/>
        <family val="3"/>
        <charset val="129"/>
      </rPr>
      <t>실제</t>
    </r>
    <r>
      <rPr>
        <sz val="9"/>
        <color theme="1"/>
        <rFont val="Calibri"/>
        <family val="2"/>
      </rPr>
      <t>__</t>
    </r>
    <r>
      <rPr>
        <sz val="9"/>
        <color theme="1"/>
        <rFont val="돋움"/>
        <family val="3"/>
        <charset val="129"/>
      </rPr>
      <t>시작일</t>
    </r>
    <phoneticPr fontId="8" type="noConversion"/>
  </si>
  <si>
    <t>Actual__Total Duration</t>
    <phoneticPr fontId="8" type="noConversion"/>
  </si>
  <si>
    <r>
      <rPr>
        <sz val="9"/>
        <color theme="1"/>
        <rFont val="돋움"/>
        <family val="3"/>
        <charset val="129"/>
      </rPr>
      <t>실제</t>
    </r>
    <r>
      <rPr>
        <sz val="9"/>
        <color theme="1"/>
        <rFont val="Calibri"/>
        <family val="2"/>
      </rPr>
      <t>__</t>
    </r>
    <r>
      <rPr>
        <sz val="9"/>
        <color theme="1"/>
        <rFont val="돋움"/>
        <family val="3"/>
        <charset val="129"/>
      </rPr>
      <t>총기간</t>
    </r>
    <phoneticPr fontId="8" type="noConversion"/>
  </si>
  <si>
    <t>Actual__Total Work</t>
    <phoneticPr fontId="8" type="noConversion"/>
  </si>
  <si>
    <r>
      <rPr>
        <sz val="9"/>
        <color theme="1"/>
        <rFont val="돋움"/>
        <family val="3"/>
        <charset val="129"/>
      </rPr>
      <t>실제</t>
    </r>
    <r>
      <rPr>
        <sz val="9"/>
        <color theme="1"/>
        <rFont val="Calibri"/>
        <family val="2"/>
      </rPr>
      <t>__</t>
    </r>
    <r>
      <rPr>
        <sz val="9"/>
        <color theme="1"/>
        <rFont val="돋움"/>
        <family val="3"/>
        <charset val="129"/>
      </rPr>
      <t>총작업량</t>
    </r>
    <phoneticPr fontId="8" type="noConversion"/>
  </si>
  <si>
    <t>Actual\nFinish</t>
  </si>
  <si>
    <r>
      <rPr>
        <sz val="9"/>
        <color theme="1"/>
        <rFont val="맑은 고딕"/>
        <family val="2"/>
      </rPr>
      <t>실제</t>
    </r>
    <r>
      <rPr>
        <sz val="9"/>
        <color theme="1"/>
        <rFont val="Calibri"/>
        <family val="2"/>
      </rPr>
      <t>\n</t>
    </r>
    <r>
      <rPr>
        <sz val="9"/>
        <color theme="1"/>
        <rFont val="맑은 고딕"/>
        <family val="2"/>
      </rPr>
      <t>완료일</t>
    </r>
    <phoneticPr fontId="2" type="noConversion"/>
  </si>
  <si>
    <t>Actual\nStart</t>
  </si>
  <si>
    <r>
      <rPr>
        <sz val="9"/>
        <color theme="1"/>
        <rFont val="맑은 고딕"/>
        <family val="2"/>
      </rPr>
      <t>실제</t>
    </r>
    <r>
      <rPr>
        <sz val="9"/>
        <color theme="1"/>
        <rFont val="Calibri"/>
        <family val="2"/>
      </rPr>
      <t>\n</t>
    </r>
    <r>
      <rPr>
        <sz val="9"/>
        <color theme="1"/>
        <rFont val="맑은 고딕"/>
        <family val="2"/>
      </rPr>
      <t>시작일</t>
    </r>
    <phoneticPr fontId="2" type="noConversion"/>
  </si>
  <si>
    <t>Actual\nStart-Finish</t>
    <phoneticPr fontId="2" type="noConversion"/>
  </si>
  <si>
    <r>
      <rPr>
        <sz val="9"/>
        <color theme="1"/>
        <rFont val="맑은 고딕"/>
        <family val="2"/>
      </rPr>
      <t>실제_x000D_</t>
    </r>
    <r>
      <rPr>
        <sz val="9"/>
        <color theme="1"/>
        <rFont val="Calibri"/>
        <family val="2"/>
      </rPr>
      <t>\n</t>
    </r>
    <r>
      <rPr>
        <sz val="9"/>
        <color theme="1"/>
        <rFont val="맑은 고딕"/>
        <family val="2"/>
      </rPr>
      <t>시작일</t>
    </r>
    <r>
      <rPr>
        <sz val="9"/>
        <color theme="1"/>
        <rFont val="Calibri"/>
        <family val="2"/>
      </rPr>
      <t>-</t>
    </r>
    <r>
      <rPr>
        <sz val="9"/>
        <color theme="1"/>
        <rFont val="맑은 고딕"/>
        <family val="2"/>
      </rPr>
      <t>완료일</t>
    </r>
    <phoneticPr fontId="2" type="noConversion"/>
  </si>
  <si>
    <t>Actual\nTotal Duration</t>
  </si>
  <si>
    <r>
      <rPr>
        <sz val="9"/>
        <color theme="1"/>
        <rFont val="맑은 고딕"/>
        <family val="2"/>
      </rPr>
      <t>실제</t>
    </r>
    <r>
      <rPr>
        <sz val="9"/>
        <color theme="1"/>
        <rFont val="Calibri"/>
        <family val="2"/>
      </rPr>
      <t>\n</t>
    </r>
    <r>
      <rPr>
        <sz val="9"/>
        <color theme="1"/>
        <rFont val="맑은 고딕"/>
        <family val="2"/>
      </rPr>
      <t>총기간</t>
    </r>
    <phoneticPr fontId="2" type="noConversion"/>
  </si>
  <si>
    <t>Actual\nTotal Work</t>
  </si>
  <si>
    <r>
      <rPr>
        <sz val="9"/>
        <color theme="1"/>
        <rFont val="맑은 고딕"/>
        <family val="2"/>
      </rPr>
      <t>실제</t>
    </r>
    <r>
      <rPr>
        <sz val="9"/>
        <color theme="1"/>
        <rFont val="Calibri"/>
        <family val="2"/>
      </rPr>
      <t>\n</t>
    </r>
    <r>
      <rPr>
        <sz val="9"/>
        <color theme="1"/>
        <rFont val="맑은 고딕"/>
        <family val="2"/>
      </rPr>
      <t>총작업량</t>
    </r>
  </si>
  <si>
    <t>Actually performed workload</t>
  </si>
  <si>
    <r>
      <rPr>
        <sz val="9"/>
        <color theme="1"/>
        <rFont val="맑은 고딕"/>
        <family val="2"/>
      </rPr>
      <t>실제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</si>
  <si>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Actually Performed workload when managing schedule changes</t>
  </si>
  <si>
    <r>
      <rPr>
        <sz val="9"/>
        <color theme="1"/>
        <rFont val="맑은 고딕"/>
        <family val="2"/>
      </rPr>
      <t>일정변경</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투입된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</si>
  <si>
    <t>Actually performed workload when not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</si>
  <si>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하지</t>
    </r>
    <r>
      <rPr>
        <sz val="9"/>
        <color theme="1"/>
        <rFont val="Calibri"/>
        <family val="2"/>
      </rPr>
      <t xml:space="preserve"> </t>
    </r>
    <r>
      <rPr>
        <sz val="9"/>
        <color theme="1"/>
        <rFont val="맑은 고딕"/>
        <family val="2"/>
      </rPr>
      <t>않을</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현재까지</t>
    </r>
    <r>
      <rPr>
        <sz val="9"/>
        <color theme="1"/>
        <rFont val="Calibri"/>
        <family val="2"/>
      </rPr>
      <t xml:space="preserve"> </t>
    </r>
    <r>
      <rPr>
        <sz val="9"/>
        <color theme="1"/>
        <rFont val="맑은 고딕"/>
        <family val="2"/>
      </rPr>
      <t>실제로</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표시함</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</si>
  <si>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Add &gt;&gt;</t>
  </si>
  <si>
    <r>
      <rPr>
        <sz val="9"/>
        <color theme="1"/>
        <rFont val="맑은 고딕"/>
        <family val="2"/>
      </rPr>
      <t>추가</t>
    </r>
    <r>
      <rPr>
        <sz val="9"/>
        <color theme="1"/>
        <rFont val="Calibri"/>
        <family val="2"/>
      </rPr>
      <t xml:space="preserve"> &gt;&gt;</t>
    </r>
  </si>
  <si>
    <t>Add Languages</t>
  </si>
  <si>
    <r>
      <rPr>
        <sz val="9"/>
        <color theme="1"/>
        <rFont val="맑은 고딕"/>
        <family val="2"/>
      </rPr>
      <t>언어</t>
    </r>
    <r>
      <rPr>
        <sz val="9"/>
        <color theme="1"/>
        <rFont val="Calibri"/>
        <family val="2"/>
      </rPr>
      <t xml:space="preserve"> </t>
    </r>
    <r>
      <rPr>
        <sz val="9"/>
        <color theme="1"/>
        <rFont val="맑은 고딕"/>
        <family val="2"/>
      </rPr>
      <t>추가</t>
    </r>
  </si>
  <si>
    <t>Add to MS Outlook Calendar</t>
  </si>
  <si>
    <r>
      <t>MS Outlook</t>
    </r>
    <r>
      <rPr>
        <sz val="9"/>
        <color theme="1"/>
        <rFont val="맑은 고딕"/>
        <family val="2"/>
      </rPr>
      <t>일정</t>
    </r>
    <r>
      <rPr>
        <sz val="9"/>
        <color theme="1"/>
        <rFont val="Calibri"/>
        <family val="2"/>
      </rPr>
      <t xml:space="preserve"> </t>
    </r>
    <r>
      <rPr>
        <sz val="9"/>
        <color theme="1"/>
        <rFont val="맑은 고딕"/>
        <family val="2"/>
      </rPr>
      <t>등록</t>
    </r>
  </si>
  <si>
    <t>Add to MS Outlook Task</t>
  </si>
  <si>
    <r>
      <t>MS Outlook</t>
    </r>
    <r>
      <rPr>
        <sz val="9"/>
        <color theme="1"/>
        <rFont val="맑은 고딕"/>
        <family val="2"/>
      </rPr>
      <t>작업</t>
    </r>
    <r>
      <rPr>
        <sz val="9"/>
        <color theme="1"/>
        <rFont val="Calibri"/>
        <family val="2"/>
      </rPr>
      <t xml:space="preserve"> </t>
    </r>
    <r>
      <rPr>
        <sz val="9"/>
        <color theme="1"/>
        <rFont val="맑은 고딕"/>
        <family val="2"/>
      </rPr>
      <t>등록</t>
    </r>
  </si>
  <si>
    <t>After turning off filtering, we'll proceed.</t>
  </si>
  <si>
    <r>
      <rPr>
        <sz val="9"/>
        <color theme="1"/>
        <rFont val="맑은 고딕"/>
        <family val="2"/>
      </rPr>
      <t>필터를</t>
    </r>
    <r>
      <rPr>
        <sz val="9"/>
        <color theme="1"/>
        <rFont val="Calibri"/>
        <family val="2"/>
      </rPr>
      <t xml:space="preserve"> </t>
    </r>
    <r>
      <rPr>
        <sz val="9"/>
        <color theme="1"/>
        <rFont val="맑은 고딕"/>
        <family val="2"/>
      </rPr>
      <t>해제하고</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진행합니다</t>
    </r>
    <r>
      <rPr>
        <sz val="9"/>
        <color theme="1"/>
        <rFont val="Calibri"/>
        <family val="2"/>
      </rPr>
      <t>.</t>
    </r>
  </si>
  <si>
    <t>All tasks</t>
  </si>
  <si>
    <r>
      <rPr>
        <sz val="9"/>
        <color theme="1"/>
        <rFont val="맑은 고딕"/>
        <family val="2"/>
      </rPr>
      <t>전체</t>
    </r>
    <r>
      <rPr>
        <sz val="9"/>
        <color theme="1"/>
        <rFont val="Calibri"/>
        <family val="2"/>
      </rPr>
      <t xml:space="preserve"> </t>
    </r>
    <r>
      <rPr>
        <sz val="9"/>
        <color theme="1"/>
        <rFont val="맑은 고딕"/>
        <family val="2"/>
      </rPr>
      <t>조회</t>
    </r>
    <r>
      <rPr>
        <sz val="9"/>
        <color theme="1"/>
        <rFont val="Calibri"/>
        <family val="2"/>
      </rPr>
      <t>(</t>
    </r>
    <r>
      <rPr>
        <sz val="9"/>
        <color theme="1"/>
        <rFont val="맑은 고딕"/>
        <family val="2"/>
      </rPr>
      <t>필터</t>
    </r>
    <r>
      <rPr>
        <sz val="9"/>
        <color theme="1"/>
        <rFont val="Calibri"/>
        <family val="2"/>
      </rPr>
      <t xml:space="preserve"> </t>
    </r>
    <r>
      <rPr>
        <sz val="9"/>
        <color theme="1"/>
        <rFont val="맑은 고딕"/>
        <family val="2"/>
      </rPr>
      <t>해제</t>
    </r>
    <r>
      <rPr>
        <sz val="9"/>
        <color theme="1"/>
        <rFont val="Calibri"/>
        <family val="2"/>
      </rPr>
      <t>)</t>
    </r>
  </si>
  <si>
    <t>An error occurred while checking for updates. Please try again \nError Message: {}</t>
  </si>
  <si>
    <r>
      <rPr>
        <sz val="9"/>
        <color theme="1"/>
        <rFont val="맑은 고딕"/>
        <family val="2"/>
      </rPr>
      <t>최신버전</t>
    </r>
    <r>
      <rPr>
        <sz val="9"/>
        <color theme="1"/>
        <rFont val="Calibri"/>
        <family val="2"/>
      </rPr>
      <t xml:space="preserve"> </t>
    </r>
    <r>
      <rPr>
        <sz val="9"/>
        <color theme="1"/>
        <rFont val="맑은 고딕"/>
        <family val="2"/>
      </rPr>
      <t>확인</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잠시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시도하세요</t>
    </r>
    <r>
      <rPr>
        <sz val="9"/>
        <color theme="1"/>
        <rFont val="Calibri"/>
        <family val="2"/>
      </rPr>
      <t>.\n</t>
    </r>
    <r>
      <rPr>
        <sz val="9"/>
        <color theme="1"/>
        <rFont val="맑은 고딕"/>
        <family val="2"/>
      </rPr>
      <t>에러메시지</t>
    </r>
    <r>
      <rPr>
        <sz val="9"/>
        <color theme="1"/>
        <rFont val="Calibri"/>
        <family val="2"/>
      </rPr>
      <t xml:space="preserve"> : {}</t>
    </r>
  </si>
  <si>
    <t>An error occurred while checking XLGantt cell formats. Please restart XLGantt.</t>
  </si>
  <si>
    <r>
      <rPr>
        <sz val="9"/>
        <color theme="1"/>
        <rFont val="맑은 고딕"/>
        <family val="2"/>
      </rPr>
      <t>서식</t>
    </r>
    <r>
      <rPr>
        <sz val="9"/>
        <color theme="1"/>
        <rFont val="Calibri"/>
        <family val="2"/>
      </rPr>
      <t xml:space="preserve">check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발생하였습니다</t>
    </r>
    <r>
      <rPr>
        <sz val="9"/>
        <color theme="1"/>
        <rFont val="Calibri"/>
        <family val="2"/>
      </rPr>
      <t>. XLGantt</t>
    </r>
    <r>
      <rPr>
        <sz val="9"/>
        <color theme="1"/>
        <rFont val="맑은 고딕"/>
        <family val="2"/>
      </rPr>
      <t>를</t>
    </r>
    <r>
      <rPr>
        <sz val="9"/>
        <color theme="1"/>
        <rFont val="Calibri"/>
        <family val="2"/>
      </rPr>
      <t xml:space="preserve"> </t>
    </r>
    <r>
      <rPr>
        <sz val="9"/>
        <color theme="1"/>
        <rFont val="맑은 고딕"/>
        <family val="2"/>
      </rPr>
      <t>종료하고</t>
    </r>
    <r>
      <rPr>
        <sz val="9"/>
        <color theme="1"/>
        <rFont val="Calibri"/>
        <family val="2"/>
      </rPr>
      <t xml:space="preserve"> </t>
    </r>
    <r>
      <rPr>
        <sz val="9"/>
        <color theme="1"/>
        <rFont val="맑은 고딕"/>
        <family val="2"/>
      </rPr>
      <t>다시</t>
    </r>
    <r>
      <rPr>
        <sz val="9"/>
        <color theme="1"/>
        <rFont val="Calibri"/>
        <family val="2"/>
      </rPr>
      <t xml:space="preserve"> </t>
    </r>
    <r>
      <rPr>
        <sz val="9"/>
        <color theme="1"/>
        <rFont val="맑은 고딕"/>
        <family val="2"/>
      </rPr>
      <t>시작하십시오</t>
    </r>
    <r>
      <rPr>
        <sz val="9"/>
        <color theme="1"/>
        <rFont val="Calibri"/>
        <family val="2"/>
      </rPr>
      <t>.</t>
    </r>
  </si>
  <si>
    <t>An error occurred while processing. Please check the messages below.</t>
  </si>
  <si>
    <r>
      <rPr>
        <sz val="9"/>
        <color theme="1"/>
        <rFont val="맑은 고딕"/>
        <family val="2"/>
      </rPr>
      <t>처리</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</si>
  <si>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Analysis</t>
  </si>
  <si>
    <r>
      <rPr>
        <sz val="9"/>
        <color theme="1"/>
        <rFont val="맑은 고딕"/>
        <family val="2"/>
      </rPr>
      <t>분석</t>
    </r>
  </si>
  <si>
    <t>Automatically defined</t>
  </si>
  <si>
    <r>
      <rPr>
        <sz val="9"/>
        <color theme="1"/>
        <rFont val="맑은 고딕"/>
        <family val="2"/>
      </rPr>
      <t>자동지정</t>
    </r>
  </si>
  <si>
    <t>Available Languages</t>
  </si>
  <si>
    <r>
      <rPr>
        <sz val="9"/>
        <color theme="1"/>
        <rFont val="맑은 고딕"/>
        <family val="2"/>
      </rPr>
      <t>추가</t>
    </r>
    <r>
      <rPr>
        <sz val="9"/>
        <color theme="1"/>
        <rFont val="Calibri"/>
        <family val="2"/>
      </rPr>
      <t xml:space="preserve"> </t>
    </r>
    <r>
      <rPr>
        <sz val="9"/>
        <color theme="1"/>
        <rFont val="맑은 고딕"/>
        <family val="2"/>
      </rPr>
      <t>가능한</t>
    </r>
    <r>
      <rPr>
        <sz val="9"/>
        <color theme="1"/>
        <rFont val="Calibri"/>
        <family val="2"/>
      </rPr>
      <t xml:space="preserve"> </t>
    </r>
    <r>
      <rPr>
        <sz val="9"/>
        <color theme="1"/>
        <rFont val="맑은 고딕"/>
        <family val="2"/>
      </rPr>
      <t>언어</t>
    </r>
  </si>
  <si>
    <t>Bar chart Text Display Position</t>
  </si>
  <si>
    <r>
      <t>Bar chart</t>
    </r>
    <r>
      <rPr>
        <sz val="9"/>
        <color theme="1"/>
        <rFont val="맑은 고딕"/>
        <family val="2"/>
      </rPr>
      <t>의</t>
    </r>
    <r>
      <rPr>
        <sz val="9"/>
        <color theme="1"/>
        <rFont val="Calibri"/>
        <family val="2"/>
      </rPr>
      <t xml:space="preserve"> </t>
    </r>
    <r>
      <rPr>
        <sz val="9"/>
        <color theme="1"/>
        <rFont val="맑은 고딕"/>
        <family val="2"/>
      </rPr>
      <t>텍스트</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위치</t>
    </r>
  </si>
  <si>
    <t>Because the following task already has been added, XLGantt does not add it to "Outlook".\n\nTask Name : {1} \nDue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</si>
  <si>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기한</t>
    </r>
    <r>
      <rPr>
        <sz val="9"/>
        <color theme="1"/>
        <rFont val="Calibri"/>
        <family val="2"/>
      </rPr>
      <t xml:space="preserve"> : {2}</t>
    </r>
  </si>
  <si>
    <t>Because the following task already has been added, XLGantt does not add it to "Outlook".\n\nTask Name : {1} \nStart Date : {2}</t>
  </si>
  <si>
    <r>
      <rPr>
        <sz val="9"/>
        <color theme="1"/>
        <rFont val="맑은 고딕"/>
        <family val="2"/>
      </rPr>
      <t>다음</t>
    </r>
    <r>
      <rPr>
        <sz val="9"/>
        <color theme="1"/>
        <rFont val="Calibri"/>
        <family val="2"/>
      </rPr>
      <t xml:space="preserve"> </t>
    </r>
    <r>
      <rPr>
        <sz val="9"/>
        <color theme="1"/>
        <rFont val="맑은 고딕"/>
        <family val="2"/>
      </rPr>
      <t>작업은</t>
    </r>
    <r>
      <rPr>
        <sz val="9"/>
        <color theme="1"/>
        <rFont val="Calibri"/>
        <family val="2"/>
      </rPr>
      <t xml:space="preserve"> </t>
    </r>
    <r>
      <rPr>
        <sz val="9"/>
        <color theme="1"/>
        <rFont val="맑은 고딕"/>
        <family val="2"/>
      </rPr>
      <t>이미</t>
    </r>
    <r>
      <rPr>
        <sz val="9"/>
        <color theme="1"/>
        <rFont val="Calibri"/>
        <family val="2"/>
      </rPr>
      <t xml:space="preserve"> </t>
    </r>
    <r>
      <rPr>
        <sz val="9"/>
        <color theme="1"/>
        <rFont val="맑은 고딕"/>
        <family val="2"/>
      </rPr>
      <t>등록되어</t>
    </r>
    <r>
      <rPr>
        <sz val="9"/>
        <color theme="1"/>
        <rFont val="Calibri"/>
        <family val="2"/>
      </rPr>
      <t xml:space="preserve"> </t>
    </r>
    <r>
      <rPr>
        <sz val="9"/>
        <color theme="1"/>
        <rFont val="맑은 고딕"/>
        <family val="2"/>
      </rPr>
      <t>있으므로</t>
    </r>
    <r>
      <rPr>
        <sz val="9"/>
        <color theme="1"/>
        <rFont val="Calibri"/>
        <family val="2"/>
      </rPr>
      <t xml:space="preserve"> </t>
    </r>
    <r>
      <rPr>
        <sz val="9"/>
        <color theme="1"/>
        <rFont val="맑은 고딕"/>
        <family val="2"/>
      </rPr>
      <t>등록하지</t>
    </r>
    <r>
      <rPr>
        <sz val="9"/>
        <color theme="1"/>
        <rFont val="Calibri"/>
        <family val="2"/>
      </rPr>
      <t xml:space="preserve"> </t>
    </r>
    <r>
      <rPr>
        <sz val="9"/>
        <color theme="1"/>
        <rFont val="맑은 고딕"/>
        <family val="2"/>
      </rPr>
      <t>않습니다</t>
    </r>
    <r>
      <rPr>
        <sz val="9"/>
        <color theme="1"/>
        <rFont val="Calibri"/>
        <family val="2"/>
      </rPr>
      <t>.\n\n</t>
    </r>
    <r>
      <rPr>
        <sz val="9"/>
        <color theme="1"/>
        <rFont val="맑은 고딕"/>
        <family val="2"/>
      </rPr>
      <t>작업명</t>
    </r>
    <r>
      <rPr>
        <sz val="9"/>
        <color theme="1"/>
        <rFont val="Calibri"/>
        <family val="2"/>
      </rPr>
      <t xml:space="preserve"> : {1} \n</t>
    </r>
    <r>
      <rPr>
        <sz val="9"/>
        <color theme="1"/>
        <rFont val="맑은 고딕"/>
        <family val="2"/>
      </rPr>
      <t>시작일</t>
    </r>
    <r>
      <rPr>
        <sz val="9"/>
        <color theme="1"/>
        <rFont val="Calibri"/>
        <family val="2"/>
      </rPr>
      <t xml:space="preserve"> : {2}</t>
    </r>
  </si>
  <si>
    <t>blabla</t>
  </si>
  <si>
    <t>...</t>
  </si>
  <si>
    <t>By %Work Complete</t>
  </si>
  <si>
    <r>
      <rPr>
        <sz val="9"/>
        <color theme="1"/>
        <rFont val="맑은 고딕"/>
        <family val="2"/>
      </rPr>
      <t>완료율</t>
    </r>
  </si>
  <si>
    <t>By Duration</t>
  </si>
  <si>
    <r>
      <rPr>
        <sz val="9"/>
        <color theme="1"/>
        <rFont val="맑은 고딕"/>
        <family val="2"/>
      </rPr>
      <t>기간</t>
    </r>
  </si>
  <si>
    <t>By Resource</t>
  </si>
  <si>
    <r>
      <rPr>
        <sz val="9"/>
        <color theme="1"/>
        <rFont val="맑은 고딕"/>
        <family val="2"/>
      </rPr>
      <t>담당</t>
    </r>
    <phoneticPr fontId="2" type="noConversion"/>
  </si>
  <si>
    <t>Calculation Base Date of Planned %Work Complete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</si>
  <si>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</si>
  <si>
    <t>Calculation Base Date of Planned %Work Complete must be greater than or equal to project start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</si>
  <si>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시작일보다</t>
    </r>
    <r>
      <rPr>
        <sz val="9"/>
        <color theme="1"/>
        <rFont val="Calibri"/>
        <family val="2"/>
      </rPr>
      <t xml:space="preserve"> </t>
    </r>
    <r>
      <rPr>
        <sz val="9"/>
        <color theme="1"/>
        <rFont val="맑은 고딕"/>
        <family val="2"/>
      </rPr>
      <t>크거나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</si>
  <si>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Calculation Base Date of Planned %Work Complete must be less than or equal to project finish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</si>
  <si>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기준일자는</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작거나</t>
    </r>
    <r>
      <rPr>
        <sz val="9"/>
        <color theme="1"/>
        <rFont val="Calibri"/>
        <family val="2"/>
      </rPr>
      <t xml:space="preserve"> </t>
    </r>
    <r>
      <rPr>
        <sz val="9"/>
        <color theme="1"/>
        <rFont val="맑은 고딕"/>
        <family val="2"/>
      </rPr>
      <t>같아야</t>
    </r>
    <r>
      <rPr>
        <sz val="9"/>
        <color theme="1"/>
        <rFont val="Calibri"/>
        <family val="2"/>
      </rPr>
      <t xml:space="preserve"> </t>
    </r>
    <r>
      <rPr>
        <sz val="9"/>
        <color theme="1"/>
        <rFont val="맑은 고딕"/>
        <family val="2"/>
      </rPr>
      <t>합니다</t>
    </r>
    <r>
      <rPr>
        <sz val="9"/>
        <color theme="1"/>
        <rFont val="Calibri"/>
        <family val="2"/>
      </rPr>
      <t>.</t>
    </r>
  </si>
  <si>
    <t>Calendar</t>
  </si>
  <si>
    <t>Cancel</t>
  </si>
  <si>
    <r>
      <rPr>
        <sz val="9"/>
        <color theme="1"/>
        <rFont val="맑은 고딕"/>
        <family val="2"/>
      </rPr>
      <t>취소</t>
    </r>
  </si>
  <si>
    <t>Chart</t>
  </si>
  <si>
    <r>
      <rPr>
        <sz val="9"/>
        <color theme="1"/>
        <rFont val="맑은 고딕"/>
        <family val="2"/>
      </rPr>
      <t>차트</t>
    </r>
  </si>
  <si>
    <t>Check for Updates</t>
  </si>
  <si>
    <r>
      <rPr>
        <sz val="9"/>
        <color theme="1"/>
        <rFont val="맑은 고딕"/>
        <family val="2"/>
      </rPr>
      <t>최신버전확인</t>
    </r>
  </si>
  <si>
    <t xml:space="preserve">Check for Updates on Startup </t>
  </si>
  <si>
    <r>
      <rPr>
        <sz val="9"/>
        <color theme="1"/>
        <rFont val="맑은 고딕"/>
        <family val="2"/>
      </rPr>
      <t>프로그램</t>
    </r>
    <r>
      <rPr>
        <sz val="9"/>
        <color theme="1"/>
        <rFont val="Calibri"/>
        <family val="2"/>
      </rPr>
      <t xml:space="preserve"> </t>
    </r>
    <r>
      <rPr>
        <sz val="9"/>
        <color theme="1"/>
        <rFont val="맑은 고딕"/>
        <family val="2"/>
      </rPr>
      <t>시작</t>
    </r>
    <r>
      <rPr>
        <sz val="9"/>
        <color theme="1"/>
        <rFont val="Calibri"/>
        <family val="2"/>
      </rPr>
      <t xml:space="preserve"> </t>
    </r>
    <r>
      <rPr>
        <sz val="9"/>
        <color theme="1"/>
        <rFont val="맑은 고딕"/>
        <family val="2"/>
      </rPr>
      <t>시</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확인</t>
    </r>
  </si>
  <si>
    <t>Check if you save deliverables in specific directory</t>
  </si>
  <si>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</si>
  <si>
    <t>Choose a file type to import</t>
  </si>
  <si>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종류</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</si>
  <si>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</si>
  <si>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t>
    </r>
    <r>
      <rPr>
        <sz val="9"/>
        <color theme="1"/>
        <rFont val="Calibri"/>
        <family val="2"/>
      </rPr>
      <t xml:space="preserve"> </t>
    </r>
    <r>
      <rPr>
        <sz val="9"/>
        <color theme="1"/>
        <rFont val="맑은 고딕"/>
        <family val="2"/>
      </rPr>
      <t>선택</t>
    </r>
  </si>
  <si>
    <t>Choose a language used in XLGantt.</t>
  </si>
  <si>
    <r>
      <t>XLGantt</t>
    </r>
    <r>
      <rPr>
        <sz val="9"/>
        <color theme="1"/>
        <rFont val="맑은 고딕"/>
        <family val="2"/>
      </rPr>
      <t>에서</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선택하세요</t>
    </r>
    <r>
      <rPr>
        <sz val="9"/>
        <color theme="1"/>
        <rFont val="Calibri"/>
        <family val="2"/>
      </rPr>
      <t>.</t>
    </r>
  </si>
  <si>
    <t>Choose a language.</t>
  </si>
  <si>
    <r>
      <rPr>
        <sz val="9"/>
        <color theme="1"/>
        <rFont val="맑은 고딕"/>
        <family val="2"/>
      </rPr>
      <t>언어를</t>
    </r>
    <r>
      <rPr>
        <sz val="9"/>
        <color theme="1"/>
        <rFont val="Calibri"/>
        <family val="2"/>
      </rPr>
      <t xml:space="preserve"> </t>
    </r>
    <r>
      <rPr>
        <sz val="9"/>
        <color theme="1"/>
        <rFont val="맑은 고딕"/>
        <family val="2"/>
      </rPr>
      <t>선택하세요</t>
    </r>
  </si>
  <si>
    <t>Choose an import option.</t>
  </si>
  <si>
    <r>
      <rPr>
        <sz val="9"/>
        <color theme="1"/>
        <rFont val="맑은 고딕"/>
        <family val="2"/>
      </rPr>
      <t>가져오기</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선택하세요</t>
    </r>
    <r>
      <rPr>
        <sz val="9"/>
        <color theme="1"/>
        <rFont val="Calibri"/>
        <family val="2"/>
      </rPr>
      <t>.</t>
    </r>
  </si>
  <si>
    <t>Choose directly</t>
  </si>
  <si>
    <r>
      <rPr>
        <sz val="9"/>
        <color theme="1"/>
        <rFont val="맑은 고딕"/>
        <family val="2"/>
      </rPr>
      <t>컴퓨터</t>
    </r>
    <r>
      <rPr>
        <sz val="9"/>
        <color theme="1"/>
        <rFont val="Calibri"/>
        <family val="2"/>
      </rPr>
      <t xml:space="preserve"> O/S</t>
    </r>
    <r>
      <rPr>
        <sz val="9"/>
        <color theme="1"/>
        <rFont val="맑은 고딕"/>
        <family val="2"/>
      </rPr>
      <t>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t>
    </r>
  </si>
  <si>
    <t>Choose the Type of Deliverables</t>
  </si>
  <si>
    <r>
      <rPr>
        <sz val="9"/>
        <color theme="1"/>
        <rFont val="맑은 고딕"/>
        <family val="2"/>
      </rPr>
      <t>산출물</t>
    </r>
    <r>
      <rPr>
        <sz val="9"/>
        <color theme="1"/>
        <rFont val="Calibri"/>
        <family val="2"/>
      </rPr>
      <t xml:space="preserve"> </t>
    </r>
    <r>
      <rPr>
        <sz val="9"/>
        <color theme="1"/>
        <rFont val="맑은 고딕"/>
        <family val="2"/>
      </rPr>
      <t>종류를</t>
    </r>
    <r>
      <rPr>
        <sz val="9"/>
        <color theme="1"/>
        <rFont val="Calibri"/>
        <family val="2"/>
      </rPr>
      <t xml:space="preserve"> </t>
    </r>
    <r>
      <rPr>
        <sz val="9"/>
        <color theme="1"/>
        <rFont val="맑은 고딕"/>
        <family val="2"/>
      </rPr>
      <t>선택하세요</t>
    </r>
  </si>
  <si>
    <t>Close</t>
  </si>
  <si>
    <r>
      <rPr>
        <sz val="9"/>
        <color theme="1"/>
        <rFont val="맑은 고딕"/>
        <family val="2"/>
      </rPr>
      <t>닫기</t>
    </r>
  </si>
  <si>
    <t>Completed(=100%)</t>
  </si>
  <si>
    <r>
      <rPr>
        <sz val="9"/>
        <color theme="1"/>
        <rFont val="맑은 고딕"/>
        <family val="2"/>
      </rPr>
      <t>완료</t>
    </r>
  </si>
  <si>
    <t>Contains</t>
  </si>
  <si>
    <r>
      <rPr>
        <sz val="9"/>
        <color theme="1"/>
        <rFont val="맑은 고딕"/>
        <family val="2"/>
      </rPr>
      <t>포함</t>
    </r>
  </si>
  <si>
    <t>Current Version</t>
  </si>
  <si>
    <r>
      <rPr>
        <sz val="9"/>
        <color theme="1"/>
        <rFont val="맑은 고딕"/>
        <family val="2"/>
      </rPr>
      <t>현재</t>
    </r>
    <r>
      <rPr>
        <sz val="9"/>
        <color theme="1"/>
        <rFont val="Calibri"/>
        <family val="2"/>
      </rPr>
      <t xml:space="preserve"> </t>
    </r>
    <r>
      <rPr>
        <sz val="9"/>
        <color theme="1"/>
        <rFont val="맑은 고딕"/>
        <family val="2"/>
      </rPr>
      <t>사용중인</t>
    </r>
    <r>
      <rPr>
        <sz val="9"/>
        <color theme="1"/>
        <rFont val="Calibri"/>
        <family val="2"/>
      </rPr>
      <t xml:space="preserve"> </t>
    </r>
    <r>
      <rPr>
        <sz val="9"/>
        <color theme="1"/>
        <rFont val="맑은 고딕"/>
        <family val="2"/>
      </rPr>
      <t>버전</t>
    </r>
  </si>
  <si>
    <t>Daily</t>
  </si>
  <si>
    <r>
      <rPr>
        <sz val="9"/>
        <color theme="1"/>
        <rFont val="맑은 고딕"/>
        <family val="2"/>
      </rPr>
      <t>일별</t>
    </r>
  </si>
  <si>
    <t>Daily view</t>
  </si>
  <si>
    <r>
      <rPr>
        <sz val="9"/>
        <color theme="1"/>
        <rFont val="맑은 고딕"/>
        <family val="2"/>
      </rPr>
      <t>일별보기</t>
    </r>
  </si>
  <si>
    <t>Days (Average number of working days per month)</t>
  </si>
  <si>
    <r>
      <rPr>
        <sz val="9"/>
        <color theme="1"/>
        <rFont val="맑은 고딕"/>
        <family val="2"/>
      </rPr>
      <t>일</t>
    </r>
    <r>
      <rPr>
        <sz val="9"/>
        <color theme="1"/>
        <rFont val="Calibri"/>
        <family val="2"/>
      </rPr>
      <t xml:space="preserve"> (</t>
    </r>
    <r>
      <rPr>
        <sz val="9"/>
        <color theme="1"/>
        <rFont val="맑은 고딕"/>
        <family val="2"/>
      </rPr>
      <t>월평균</t>
    </r>
    <r>
      <rPr>
        <sz val="9"/>
        <color theme="1"/>
        <rFont val="Calibri"/>
        <family val="2"/>
      </rPr>
      <t xml:space="preserve"> </t>
    </r>
    <r>
      <rPr>
        <sz val="9"/>
        <color theme="1"/>
        <rFont val="맑은 고딕"/>
        <family val="2"/>
      </rPr>
      <t>근무일수</t>
    </r>
    <r>
      <rPr>
        <sz val="9"/>
        <color theme="1"/>
        <rFont val="Calibri"/>
        <family val="2"/>
      </rPr>
      <t>)</t>
    </r>
  </si>
  <si>
    <t xml:space="preserve">Days counted as Nonworking days </t>
  </si>
  <si>
    <r>
      <rPr>
        <sz val="9"/>
        <color theme="1"/>
        <rFont val="맑은 고딕"/>
        <family val="2"/>
      </rPr>
      <t>휴무일로</t>
    </r>
    <r>
      <rPr>
        <sz val="9"/>
        <color theme="1"/>
        <rFont val="Calibri"/>
        <family val="2"/>
      </rPr>
      <t xml:space="preserve"> </t>
    </r>
    <r>
      <rPr>
        <sz val="9"/>
        <color theme="1"/>
        <rFont val="맑은 고딕"/>
        <family val="2"/>
      </rPr>
      <t>계산되는</t>
    </r>
    <r>
      <rPr>
        <sz val="9"/>
        <color theme="1"/>
        <rFont val="Calibri"/>
        <family val="2"/>
      </rPr>
      <t xml:space="preserve"> </t>
    </r>
    <r>
      <rPr>
        <sz val="9"/>
        <color theme="1"/>
        <rFont val="맑은 고딕"/>
        <family val="2"/>
      </rPr>
      <t>날</t>
    </r>
  </si>
  <si>
    <t>Deliverables</t>
  </si>
  <si>
    <r>
      <rPr>
        <sz val="9"/>
        <color theme="1"/>
        <rFont val="맑은 고딕"/>
        <family val="2"/>
      </rPr>
      <t>산출물</t>
    </r>
  </si>
  <si>
    <t>Deliverables field.</t>
  </si>
  <si>
    <r>
      <rPr>
        <sz val="9"/>
        <color theme="1"/>
        <rFont val="맑은 고딕"/>
        <family val="2"/>
      </rPr>
      <t>산출물</t>
    </r>
    <r>
      <rPr>
        <sz val="9"/>
        <color theme="1"/>
        <rFont val="Calibri"/>
        <family val="2"/>
      </rPr>
      <t xml:space="preserve"> </t>
    </r>
    <r>
      <rPr>
        <sz val="9"/>
        <color theme="1"/>
        <rFont val="맑은 고딕"/>
        <family val="2"/>
      </rPr>
      <t>필드입니다</t>
    </r>
    <r>
      <rPr>
        <sz val="9"/>
        <color theme="1"/>
        <rFont val="Calibri"/>
        <family val="2"/>
      </rPr>
      <t>.</t>
    </r>
  </si>
  <si>
    <t>Deliverables type is not selected</t>
  </si>
  <si>
    <r>
      <rPr>
        <sz val="9"/>
        <color theme="1"/>
        <rFont val="맑은 고딕"/>
        <family val="2"/>
      </rPr>
      <t>산출물</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</si>
  <si>
    <t>Display  % Work Complete</t>
  </si>
  <si>
    <r>
      <rPr>
        <sz val="9"/>
        <color theme="1"/>
        <rFont val="맑은 고딕"/>
        <family val="2"/>
      </rPr>
      <t>실적진척율</t>
    </r>
    <r>
      <rPr>
        <sz val="9"/>
        <color theme="1"/>
        <rFont val="Calibri"/>
        <family val="2"/>
      </rPr>
      <t xml:space="preserve"> </t>
    </r>
    <r>
      <rPr>
        <sz val="9"/>
        <color theme="1"/>
        <rFont val="맑은 고딕"/>
        <family val="2"/>
      </rPr>
      <t>표시</t>
    </r>
  </si>
  <si>
    <t>Display date</t>
  </si>
  <si>
    <r>
      <rPr>
        <sz val="9"/>
        <color theme="1"/>
        <rFont val="맑은 고딕"/>
        <family val="2"/>
      </rPr>
      <t>날짜</t>
    </r>
    <r>
      <rPr>
        <sz val="9"/>
        <color theme="1"/>
        <rFont val="Calibri"/>
        <family val="2"/>
      </rPr>
      <t xml:space="preserve"> </t>
    </r>
    <r>
      <rPr>
        <sz val="9"/>
        <color theme="1"/>
        <rFont val="맑은 고딕"/>
        <family val="2"/>
      </rPr>
      <t>표시</t>
    </r>
  </si>
  <si>
    <t>Display font color to the gray for the completed tasks</t>
    <phoneticPr fontId="2" type="noConversion"/>
  </si>
  <si>
    <r>
      <rPr>
        <sz val="9"/>
        <color theme="1"/>
        <rFont val="맑은 고딕"/>
        <family val="2"/>
      </rPr>
      <t>완료된</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폰트색상</t>
    </r>
    <r>
      <rPr>
        <sz val="9"/>
        <color theme="1"/>
        <rFont val="Calibri"/>
        <family val="2"/>
      </rPr>
      <t xml:space="preserve"> </t>
    </r>
    <r>
      <rPr>
        <sz val="9"/>
        <color theme="1"/>
        <rFont val="맑은 고딕"/>
        <family val="2"/>
      </rPr>
      <t>회색표시</t>
    </r>
  </si>
  <si>
    <t>Display interior color to the gray for the task groups</t>
  </si>
  <si>
    <r>
      <rPr>
        <sz val="9"/>
        <color theme="1"/>
        <rFont val="맑은 고딕"/>
        <family val="2"/>
      </rPr>
      <t>작업그룹의</t>
    </r>
    <r>
      <rPr>
        <sz val="9"/>
        <color theme="1"/>
        <rFont val="Calibri"/>
        <family val="2"/>
      </rPr>
      <t xml:space="preserve"> </t>
    </r>
    <r>
      <rPr>
        <sz val="9"/>
        <color theme="1"/>
        <rFont val="맑은 고딕"/>
        <family val="2"/>
      </rPr>
      <t>배경색</t>
    </r>
    <r>
      <rPr>
        <sz val="9"/>
        <color theme="1"/>
        <rFont val="Calibri"/>
        <family val="2"/>
      </rPr>
      <t xml:space="preserve"> </t>
    </r>
    <r>
      <rPr>
        <sz val="9"/>
        <color theme="1"/>
        <rFont val="맑은 고딕"/>
        <family val="2"/>
      </rPr>
      <t>회색표시</t>
    </r>
  </si>
  <si>
    <t>Display Planned %Work Complete</t>
  </si>
  <si>
    <r>
      <rPr>
        <sz val="9"/>
        <color theme="1"/>
        <rFont val="맑은 고딕"/>
        <family val="2"/>
      </rPr>
      <t>계획진척율</t>
    </r>
    <r>
      <rPr>
        <sz val="9"/>
        <color theme="1"/>
        <rFont val="Calibri"/>
        <family val="2"/>
      </rPr>
      <t xml:space="preserve"> </t>
    </r>
    <r>
      <rPr>
        <sz val="9"/>
        <color theme="1"/>
        <rFont val="맑은 고딕"/>
        <family val="2"/>
      </rPr>
      <t>표시</t>
    </r>
  </si>
  <si>
    <t>Display resource</t>
  </si>
  <si>
    <r>
      <rPr>
        <sz val="9"/>
        <color theme="1"/>
        <rFont val="맑은 고딕"/>
        <family val="2"/>
      </rPr>
      <t>담당</t>
    </r>
    <r>
      <rPr>
        <sz val="9"/>
        <color theme="1"/>
        <rFont val="Calibri"/>
        <family val="2"/>
      </rPr>
      <t xml:space="preserve"> </t>
    </r>
    <r>
      <rPr>
        <sz val="9"/>
        <color theme="1"/>
        <rFont val="맑은 고딕"/>
        <family val="2"/>
      </rPr>
      <t>표시</t>
    </r>
  </si>
  <si>
    <t xml:space="preserve">Display task name </t>
  </si>
  <si>
    <r>
      <rPr>
        <sz val="9"/>
        <color theme="1"/>
        <rFont val="맑은 고딕"/>
        <family val="2"/>
      </rPr>
      <t>작업명</t>
    </r>
    <r>
      <rPr>
        <sz val="9"/>
        <color theme="1"/>
        <rFont val="Calibri"/>
        <family val="2"/>
      </rPr>
      <t xml:space="preserve"> </t>
    </r>
    <r>
      <rPr>
        <sz val="9"/>
        <color theme="1"/>
        <rFont val="맑은 고딕"/>
        <family val="2"/>
      </rPr>
      <t>표시</t>
    </r>
  </si>
  <si>
    <t>Display the task name in the same field</t>
  </si>
  <si>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</si>
  <si>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Display the total workload of the project</t>
  </si>
  <si>
    <r>
      <rPr>
        <sz val="9"/>
        <color theme="1"/>
        <rFont val="맑은 고딕"/>
        <family val="2"/>
      </rPr>
      <t>프로젝트</t>
    </r>
    <r>
      <rPr>
        <sz val="9"/>
        <color theme="1"/>
        <rFont val="Calibri"/>
        <family val="2"/>
      </rPr>
      <t xml:space="preserve"> </t>
    </r>
    <r>
      <rPr>
        <sz val="9"/>
        <color theme="1"/>
        <rFont val="맑은 고딕"/>
        <family val="2"/>
      </rPr>
      <t>전체의</t>
    </r>
    <r>
      <rPr>
        <sz val="9"/>
        <color theme="1"/>
        <rFont val="Calibri"/>
        <family val="2"/>
      </rPr>
      <t xml:space="preserve"> </t>
    </r>
    <r>
      <rPr>
        <sz val="9"/>
        <color theme="1"/>
        <rFont val="맑은 고딕"/>
        <family val="2"/>
      </rPr>
      <t>작업량을</t>
    </r>
    <r>
      <rPr>
        <sz val="9"/>
        <color theme="1"/>
        <rFont val="Calibri"/>
        <family val="2"/>
      </rPr>
      <t xml:space="preserve"> Man/Day</t>
    </r>
    <r>
      <rPr>
        <sz val="9"/>
        <color theme="1"/>
        <rFont val="맑은 고딕"/>
        <family val="2"/>
      </rPr>
      <t>로</t>
    </r>
    <r>
      <rPr>
        <sz val="9"/>
        <color theme="1"/>
        <rFont val="Calibri"/>
        <family val="2"/>
      </rPr>
      <t xml:space="preserve"> </t>
    </r>
    <r>
      <rPr>
        <sz val="9"/>
        <color theme="1"/>
        <rFont val="맑은 고딕"/>
        <family val="2"/>
      </rPr>
      <t>표시한다</t>
    </r>
    <r>
      <rPr>
        <sz val="9"/>
        <color theme="1"/>
        <rFont val="Calibri"/>
        <family val="2"/>
      </rPr>
      <t xml:space="preserve">. </t>
    </r>
    <r>
      <rPr>
        <sz val="9"/>
        <color theme="1"/>
        <rFont val="맑은 고딕"/>
        <family val="2"/>
      </rPr>
      <t>가중치를</t>
    </r>
    <r>
      <rPr>
        <sz val="9"/>
        <color theme="1"/>
        <rFont val="Calibri"/>
        <family val="2"/>
      </rPr>
      <t xml:space="preserve"> </t>
    </r>
    <r>
      <rPr>
        <sz val="9"/>
        <color theme="1"/>
        <rFont val="맑은 고딕"/>
        <family val="2"/>
      </rPr>
      <t>적용한</t>
    </r>
    <r>
      <rPr>
        <sz val="9"/>
        <color theme="1"/>
        <rFont val="Calibri"/>
        <family val="2"/>
      </rPr>
      <t xml:space="preserve"> </t>
    </r>
    <r>
      <rPr>
        <sz val="9"/>
        <color theme="1"/>
        <rFont val="맑은 고딕"/>
        <family val="2"/>
      </rPr>
      <t>값이다</t>
    </r>
    <r>
      <rPr>
        <sz val="9"/>
        <color theme="1"/>
        <rFont val="Calibri"/>
        <family val="2"/>
      </rPr>
      <t>.</t>
    </r>
  </si>
  <si>
    <t>Displays the task name in the different field for each level</t>
  </si>
  <si>
    <r>
      <t>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</si>
  <si>
    <t>Download the latest version</t>
  </si>
  <si>
    <r>
      <rPr>
        <sz val="9"/>
        <color theme="1"/>
        <rFont val="맑은 고딕"/>
        <family val="2"/>
      </rPr>
      <t>프로그램</t>
    </r>
    <r>
      <rPr>
        <sz val="9"/>
        <color theme="1"/>
        <rFont val="Calibri"/>
        <family val="2"/>
      </rPr>
      <t xml:space="preserve"> </t>
    </r>
    <r>
      <rPr>
        <sz val="9"/>
        <color theme="1"/>
        <rFont val="맑은 고딕"/>
        <family val="2"/>
      </rPr>
      <t>최신버전</t>
    </r>
    <r>
      <rPr>
        <sz val="9"/>
        <color theme="1"/>
        <rFont val="Calibri"/>
        <family val="2"/>
      </rPr>
      <t xml:space="preserve"> </t>
    </r>
    <r>
      <rPr>
        <sz val="9"/>
        <color theme="1"/>
        <rFont val="맑은 고딕"/>
        <family val="2"/>
      </rPr>
      <t>다운로드</t>
    </r>
  </si>
  <si>
    <t>Drawing Gantt chart</t>
  </si>
  <si>
    <r>
      <t xml:space="preserve">Gantt chart </t>
    </r>
    <r>
      <rPr>
        <sz val="9"/>
        <color theme="1"/>
        <rFont val="맑은 고딕"/>
        <family val="2"/>
      </rPr>
      <t>그리기</t>
    </r>
    <r>
      <rPr>
        <sz val="9"/>
        <color theme="1"/>
        <rFont val="Calibri"/>
        <family val="2"/>
      </rPr>
      <t xml:space="preserve"> </t>
    </r>
    <r>
      <rPr>
        <sz val="9"/>
        <color theme="1"/>
        <rFont val="맑은 고딕"/>
        <family val="2"/>
      </rPr>
      <t>작업</t>
    </r>
  </si>
  <si>
    <t>Drawing progress line</t>
  </si>
  <si>
    <r>
      <rPr>
        <sz val="9"/>
        <color theme="1"/>
        <rFont val="맑은 고딕"/>
        <family val="2"/>
      </rPr>
      <t>진척율선</t>
    </r>
    <r>
      <rPr>
        <sz val="9"/>
        <color theme="1"/>
        <rFont val="Calibri"/>
        <family val="2"/>
      </rPr>
      <t xml:space="preserve"> </t>
    </r>
    <r>
      <rPr>
        <sz val="9"/>
        <color theme="1"/>
        <rFont val="맑은 고딕"/>
        <family val="2"/>
      </rPr>
      <t>그리기</t>
    </r>
  </si>
  <si>
    <t xml:space="preserve">Duration </t>
  </si>
  <si>
    <r>
      <rPr>
        <sz val="9"/>
        <color theme="1"/>
        <rFont val="맑은 고딕"/>
        <family val="2"/>
      </rPr>
      <t>기간</t>
    </r>
    <r>
      <rPr>
        <sz val="9"/>
        <color theme="1"/>
        <rFont val="Calibri"/>
        <family val="2"/>
      </rPr>
      <t xml:space="preserve"> </t>
    </r>
    <r>
      <rPr>
        <sz val="9"/>
        <color theme="1"/>
        <rFont val="맑은 고딕"/>
        <family val="2"/>
      </rPr>
      <t>지정</t>
    </r>
  </si>
  <si>
    <t>Edit a Task</t>
  </si>
  <si>
    <r>
      <rPr>
        <sz val="9"/>
        <color theme="1"/>
        <rFont val="맑은 고딕"/>
        <family val="2"/>
      </rPr>
      <t>작업</t>
    </r>
    <r>
      <rPr>
        <sz val="9"/>
        <color theme="1"/>
        <rFont val="Calibri"/>
        <family val="2"/>
      </rPr>
      <t xml:space="preserve"> </t>
    </r>
    <r>
      <rPr>
        <sz val="9"/>
        <color theme="1"/>
        <rFont val="맑은 고딕"/>
        <family val="2"/>
      </rPr>
      <t>정보</t>
    </r>
  </si>
  <si>
    <t>Enabled Languages</t>
  </si>
  <si>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언어</t>
    </r>
  </si>
  <si>
    <t>Equals</t>
  </si>
  <si>
    <r>
      <rPr>
        <sz val="9"/>
        <color theme="1"/>
        <rFont val="맑은 고딕"/>
        <family val="2"/>
      </rPr>
      <t>같음</t>
    </r>
  </si>
  <si>
    <t>Error! Calculated Total Man-Day is different from the Total Man-Day of the {} sheet.</t>
  </si>
  <si>
    <r>
      <rPr>
        <sz val="9"/>
        <color theme="1"/>
        <rFont val="맑은 고딕"/>
        <family val="2"/>
      </rPr>
      <t>오류</t>
    </r>
    <r>
      <rPr>
        <sz val="9"/>
        <color theme="1"/>
        <rFont val="Calibri"/>
        <family val="2"/>
      </rPr>
      <t xml:space="preserve">! </t>
    </r>
    <r>
      <rPr>
        <sz val="9"/>
        <color theme="1"/>
        <rFont val="맑은 고딕"/>
        <family val="2"/>
      </rPr>
      <t>계산된</t>
    </r>
    <r>
      <rPr>
        <sz val="9"/>
        <color theme="1"/>
        <rFont val="Calibri"/>
        <family val="2"/>
      </rPr>
      <t xml:space="preserve"> Total Man-Day</t>
    </r>
    <r>
      <rPr>
        <sz val="9"/>
        <color theme="1"/>
        <rFont val="맑은 고딕"/>
        <family val="2"/>
      </rPr>
      <t>가</t>
    </r>
    <r>
      <rPr>
        <sz val="9"/>
        <color theme="1"/>
        <rFont val="Calibri"/>
        <family val="2"/>
      </rPr>
      <t xml:space="preserve"> {} sheet</t>
    </r>
    <r>
      <rPr>
        <sz val="9"/>
        <color theme="1"/>
        <rFont val="맑은 고딕"/>
        <family val="2"/>
      </rPr>
      <t>의</t>
    </r>
    <r>
      <rPr>
        <sz val="9"/>
        <color theme="1"/>
        <rFont val="Calibri"/>
        <family val="2"/>
      </rPr>
      <t xml:space="preserve"> Total Man-Day</t>
    </r>
    <r>
      <rPr>
        <sz val="9"/>
        <color theme="1"/>
        <rFont val="맑은 고딕"/>
        <family val="2"/>
      </rPr>
      <t>와</t>
    </r>
    <r>
      <rPr>
        <sz val="9"/>
        <color theme="1"/>
        <rFont val="Calibri"/>
        <family val="2"/>
      </rPr>
      <t xml:space="preserve"> </t>
    </r>
    <r>
      <rPr>
        <sz val="9"/>
        <color theme="1"/>
        <rFont val="맑은 고딕"/>
        <family val="2"/>
      </rPr>
      <t>다릅니다</t>
    </r>
    <r>
      <rPr>
        <sz val="9"/>
        <color theme="1"/>
        <rFont val="Calibri"/>
        <family val="2"/>
      </rPr>
      <t>.</t>
    </r>
  </si>
  <si>
    <t>Error! Cause may be one of the following.\n * File is invalid(e.g. the XLGantt file corrupted)\n * Not XLGantt file but General Excel file\n\n Please check the messages below for details.</t>
  </si>
  <si>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다음</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.\n - </t>
    </r>
    <r>
      <rPr>
        <sz val="9"/>
        <color theme="1"/>
        <rFont val="맑은 고딕"/>
        <family val="2"/>
      </rPr>
      <t>파일이</t>
    </r>
    <r>
      <rPr>
        <sz val="9"/>
        <color theme="1"/>
        <rFont val="Calibri"/>
        <family val="2"/>
      </rPr>
      <t xml:space="preserve"> </t>
    </r>
    <r>
      <rPr>
        <sz val="9"/>
        <color theme="1"/>
        <rFont val="맑은 고딕"/>
        <family val="2"/>
      </rPr>
      <t>비정상적인</t>
    </r>
    <r>
      <rPr>
        <sz val="9"/>
        <color theme="1"/>
        <rFont val="Calibri"/>
        <family val="2"/>
      </rPr>
      <t xml:space="preserve"> </t>
    </r>
    <r>
      <rPr>
        <sz val="9"/>
        <color theme="1"/>
        <rFont val="맑은 고딕"/>
        <family val="2"/>
      </rPr>
      <t>경우</t>
    </r>
    <r>
      <rPr>
        <sz val="9"/>
        <color theme="1"/>
        <rFont val="Calibri"/>
        <family val="2"/>
      </rPr>
      <t>(XLGantt</t>
    </r>
    <r>
      <rPr>
        <sz val="9"/>
        <color theme="1"/>
        <rFont val="맑은 고딕"/>
        <family val="2"/>
      </rPr>
      <t>파일이</t>
    </r>
    <r>
      <rPr>
        <sz val="9"/>
        <color theme="1"/>
        <rFont val="Calibri"/>
        <family val="2"/>
      </rPr>
      <t xml:space="preserve"> </t>
    </r>
    <r>
      <rPr>
        <sz val="9"/>
        <color theme="1"/>
        <rFont val="맑은 고딕"/>
        <family val="2"/>
      </rPr>
      <t>손상된</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등</t>
    </r>
    <r>
      <rPr>
        <sz val="9"/>
        <color theme="1"/>
        <rFont val="Calibri"/>
        <family val="2"/>
      </rPr>
      <t xml:space="preserve">)\n - XLGantt </t>
    </r>
    <r>
      <rPr>
        <sz val="9"/>
        <color theme="1"/>
        <rFont val="맑은 고딕"/>
        <family val="2"/>
      </rPr>
      <t>파일이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일반</t>
    </r>
    <r>
      <rPr>
        <sz val="9"/>
        <color theme="1"/>
        <rFont val="Calibri"/>
        <family val="2"/>
      </rPr>
      <t xml:space="preserve"> </t>
    </r>
    <r>
      <rPr>
        <sz val="9"/>
        <color theme="1"/>
        <rFont val="맑은 고딕"/>
        <family val="2"/>
      </rPr>
      <t>엑셀파일인</t>
    </r>
    <r>
      <rPr>
        <sz val="9"/>
        <color theme="1"/>
        <rFont val="Calibri"/>
        <family val="2"/>
      </rPr>
      <t xml:space="preserve"> </t>
    </r>
    <r>
      <rPr>
        <sz val="9"/>
        <color theme="1"/>
        <rFont val="맑은 고딕"/>
        <family val="2"/>
      </rPr>
      <t>경우</t>
    </r>
    <r>
      <rPr>
        <sz val="9"/>
        <color theme="1"/>
        <rFont val="Calibri"/>
        <family val="2"/>
      </rPr>
      <t xml:space="preserve">\n\n </t>
    </r>
    <r>
      <rPr>
        <sz val="9"/>
        <color theme="1"/>
        <rFont val="맑은 고딕"/>
        <family val="2"/>
      </rPr>
      <t>자세한</t>
    </r>
    <r>
      <rPr>
        <sz val="9"/>
        <color theme="1"/>
        <rFont val="Calibri"/>
        <family val="2"/>
      </rPr>
      <t xml:space="preserve"> </t>
    </r>
    <r>
      <rPr>
        <sz val="9"/>
        <color theme="1"/>
        <rFont val="맑은 고딕"/>
        <family val="2"/>
      </rPr>
      <t>원인은</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확인하시기</t>
    </r>
    <r>
      <rPr>
        <sz val="9"/>
        <color theme="1"/>
        <rFont val="Calibri"/>
        <family val="2"/>
      </rPr>
      <t xml:space="preserve"> </t>
    </r>
    <r>
      <rPr>
        <sz val="9"/>
        <color theme="1"/>
        <rFont val="맑은 고딕"/>
        <family val="2"/>
      </rPr>
      <t>바랍니다</t>
    </r>
    <r>
      <rPr>
        <sz val="9"/>
        <color theme="1"/>
        <rFont val="Calibri"/>
        <family val="2"/>
      </rPr>
      <t>.</t>
    </r>
  </si>
  <si>
    <t>Error, Invalid field specified.</t>
  </si>
  <si>
    <r>
      <rPr>
        <sz val="9"/>
        <color theme="1"/>
        <rFont val="맑은 고딕"/>
        <family val="2"/>
      </rPr>
      <t>오류</t>
    </r>
    <r>
      <rPr>
        <sz val="9"/>
        <color theme="1"/>
        <rFont val="Calibri"/>
        <family val="2"/>
      </rPr>
      <t xml:space="preserve">, </t>
    </r>
    <r>
      <rPr>
        <sz val="9"/>
        <color theme="1"/>
        <rFont val="맑은 고딕"/>
        <family val="2"/>
      </rPr>
      <t>지정할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필드가</t>
    </r>
    <r>
      <rPr>
        <sz val="9"/>
        <color theme="1"/>
        <rFont val="Calibri"/>
        <family val="2"/>
      </rPr>
      <t xml:space="preserve"> </t>
    </r>
    <r>
      <rPr>
        <sz val="9"/>
        <color theme="1"/>
        <rFont val="맑은 고딕"/>
        <family val="2"/>
      </rPr>
      <t>있습니다</t>
    </r>
  </si>
  <si>
    <t>Etc</t>
  </si>
  <si>
    <r>
      <rPr>
        <sz val="9"/>
        <color theme="1"/>
        <rFont val="맑은 고딕"/>
        <family val="2"/>
      </rPr>
      <t>기타</t>
    </r>
    <phoneticPr fontId="2" type="noConversion"/>
  </si>
  <si>
    <t>Excel</t>
  </si>
  <si>
    <r>
      <rPr>
        <sz val="9"/>
        <color theme="1"/>
        <rFont val="맑은 고딕"/>
        <family val="2"/>
      </rPr>
      <t>엑셀</t>
    </r>
  </si>
  <si>
    <t>Execution path of Program</t>
  </si>
  <si>
    <r>
      <rPr>
        <sz val="9"/>
        <color theme="1"/>
        <rFont val="맑은 고딕"/>
        <family val="2"/>
      </rPr>
      <t>프로그램</t>
    </r>
    <r>
      <rPr>
        <sz val="9"/>
        <color theme="1"/>
        <rFont val="Calibri"/>
        <family val="2"/>
      </rPr>
      <t xml:space="preserve"> </t>
    </r>
    <r>
      <rPr>
        <sz val="9"/>
        <color theme="1"/>
        <rFont val="맑은 고딕"/>
        <family val="2"/>
      </rPr>
      <t>실행경로</t>
    </r>
  </si>
  <si>
    <t>Extension</t>
  </si>
  <si>
    <r>
      <rPr>
        <sz val="9"/>
        <color theme="1"/>
        <rFont val="맑은 고딕"/>
        <family val="2"/>
      </rPr>
      <t>확장자명</t>
    </r>
  </si>
  <si>
    <t>Filter</t>
  </si>
  <si>
    <r>
      <rPr>
        <sz val="9"/>
        <color theme="1"/>
        <rFont val="맑은 고딕"/>
        <family val="2"/>
      </rPr>
      <t>필터</t>
    </r>
    <r>
      <rPr>
        <sz val="9"/>
        <color theme="1"/>
        <rFont val="Calibri"/>
        <family val="2"/>
      </rPr>
      <t xml:space="preserve"> </t>
    </r>
    <r>
      <rPr>
        <sz val="9"/>
        <color theme="1"/>
        <rFont val="맑은 고딕"/>
        <family val="2"/>
      </rPr>
      <t>적용</t>
    </r>
  </si>
  <si>
    <t>Filter Task</t>
  </si>
  <si>
    <r>
      <rPr>
        <sz val="9"/>
        <color theme="1"/>
        <rFont val="맑은 고딕"/>
        <family val="2"/>
      </rPr>
      <t>작업</t>
    </r>
    <r>
      <rPr>
        <sz val="9"/>
        <color theme="1"/>
        <rFont val="Calibri"/>
        <family val="2"/>
      </rPr>
      <t xml:space="preserve"> </t>
    </r>
    <r>
      <rPr>
        <sz val="9"/>
        <color theme="1"/>
        <rFont val="맑은 고딕"/>
        <family val="2"/>
      </rPr>
      <t>필터</t>
    </r>
  </si>
  <si>
    <t>Finish</t>
  </si>
  <si>
    <r>
      <rPr>
        <sz val="9"/>
        <color theme="1"/>
        <rFont val="맑은 고딕"/>
        <family val="2"/>
      </rPr>
      <t>완료일</t>
    </r>
  </si>
  <si>
    <t>Finish Date</t>
  </si>
  <si>
    <r>
      <rPr>
        <sz val="9"/>
        <color theme="1"/>
        <rFont val="맑은 고딕"/>
        <family val="2"/>
      </rPr>
      <t>완료일자</t>
    </r>
  </si>
  <si>
    <t>Finish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</si>
  <si>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또는</t>
    </r>
    <r>
      <rPr>
        <sz val="9"/>
        <color theme="1"/>
        <rFont val="Calibri"/>
        <family val="2"/>
      </rPr>
      <t xml:space="preserve"> </t>
    </r>
    <r>
      <rPr>
        <sz val="9"/>
        <color theme="1"/>
        <rFont val="맑은 고딕"/>
        <family val="2"/>
      </rPr>
      <t>종료일</t>
    </r>
    <r>
      <rPr>
        <sz val="9"/>
        <color theme="1"/>
        <rFont val="Calibri"/>
        <family val="2"/>
      </rPr>
      <t>)</t>
    </r>
    <r>
      <rPr>
        <sz val="9"/>
        <color theme="1"/>
        <rFont val="맑은 고딕"/>
        <family val="2"/>
      </rPr>
      <t>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</si>
  <si>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Finish date is invalid.</t>
  </si>
  <si>
    <r>
      <rPr>
        <sz val="9"/>
        <color theme="1"/>
        <rFont val="맑은 고딕"/>
        <family val="2"/>
      </rPr>
      <t>작업완료일의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</si>
  <si>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Finish date is invalid. Verify row {} of the source file.</t>
  </si>
  <si>
    <r>
      <rPr>
        <sz val="9"/>
        <color theme="1"/>
        <rFont val="맑은 고딕"/>
        <family val="2"/>
      </rPr>
      <t>완료일자에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</si>
  <si>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First day of week</t>
  </si>
  <si>
    <r>
      <rPr>
        <sz val="9"/>
        <color theme="1"/>
        <rFont val="맑은 고딕"/>
        <family val="2"/>
      </rPr>
      <t>한주의</t>
    </r>
    <r>
      <rPr>
        <sz val="9"/>
        <color theme="1"/>
        <rFont val="Calibri"/>
        <family val="2"/>
      </rPr>
      <t xml:space="preserve"> </t>
    </r>
    <r>
      <rPr>
        <sz val="9"/>
        <color theme="1"/>
        <rFont val="맑은 고딕"/>
        <family val="2"/>
      </rPr>
      <t>시작요일</t>
    </r>
  </si>
  <si>
    <t>Follow the language setting of your computer O/S</t>
  </si>
  <si>
    <r>
      <rPr>
        <sz val="9"/>
        <color theme="1"/>
        <rFont val="맑은 고딕"/>
        <family val="2"/>
      </rPr>
      <t>컴퓨터</t>
    </r>
    <r>
      <rPr>
        <sz val="9"/>
        <color theme="1"/>
        <rFont val="Calibri"/>
        <family val="2"/>
      </rPr>
      <t xml:space="preserve"> O/S</t>
    </r>
    <r>
      <rPr>
        <sz val="9"/>
        <color theme="1"/>
        <rFont val="맑은 고딕"/>
        <family val="2"/>
      </rPr>
      <t>의</t>
    </r>
    <r>
      <rPr>
        <sz val="9"/>
        <color theme="1"/>
        <rFont val="Calibri"/>
        <family val="2"/>
      </rPr>
      <t xml:space="preserve"> </t>
    </r>
    <r>
      <rPr>
        <sz val="9"/>
        <color theme="1"/>
        <rFont val="맑은 고딕"/>
        <family val="2"/>
      </rPr>
      <t>언어설정을</t>
    </r>
    <r>
      <rPr>
        <sz val="9"/>
        <color theme="1"/>
        <rFont val="Calibri"/>
        <family val="2"/>
      </rPr>
      <t xml:space="preserve"> </t>
    </r>
    <r>
      <rPr>
        <sz val="9"/>
        <color theme="1"/>
        <rFont val="맑은 고딕"/>
        <family val="2"/>
      </rPr>
      <t>따름</t>
    </r>
  </si>
  <si>
    <t>Fri</t>
  </si>
  <si>
    <r>
      <rPr>
        <sz val="9"/>
        <color theme="1"/>
        <rFont val="맑은 고딕"/>
        <family val="2"/>
      </rPr>
      <t>금</t>
    </r>
  </si>
  <si>
    <t>From (File to import )</t>
  </si>
  <si>
    <r>
      <t>Source</t>
    </r>
    <r>
      <rPr>
        <sz val="9"/>
        <color theme="1"/>
        <rFont val="맑은 고딕"/>
        <family val="2"/>
      </rPr>
      <t>파일</t>
    </r>
    <r>
      <rPr>
        <sz val="9"/>
        <color theme="1"/>
        <rFont val="Calibri"/>
        <family val="2"/>
      </rPr>
      <t>(</t>
    </r>
    <r>
      <rPr>
        <sz val="9"/>
        <color theme="1"/>
        <rFont val="맑은 고딕"/>
        <family val="2"/>
      </rPr>
      <t>가져올</t>
    </r>
    <r>
      <rPr>
        <sz val="9"/>
        <color theme="1"/>
        <rFont val="Calibri"/>
        <family val="2"/>
      </rPr>
      <t xml:space="preserve"> </t>
    </r>
    <r>
      <rPr>
        <sz val="9"/>
        <color theme="1"/>
        <rFont val="맑은 고딕"/>
        <family val="2"/>
      </rPr>
      <t>파일</t>
    </r>
    <r>
      <rPr>
        <sz val="9"/>
        <color theme="1"/>
        <rFont val="Calibri"/>
        <family val="2"/>
      </rPr>
      <t xml:space="preserve"> )</t>
    </r>
  </si>
  <si>
    <t>From Date is invalid.</t>
  </si>
  <si>
    <r>
      <rPr>
        <sz val="9"/>
        <color theme="1"/>
        <rFont val="맑은 고딕"/>
        <family val="2"/>
      </rPr>
      <t>시작날짜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</si>
  <si>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Gantt Chart Display</t>
  </si>
  <si>
    <r>
      <t>Gantt chart</t>
    </r>
    <r>
      <rPr>
        <sz val="9"/>
        <color theme="1"/>
        <rFont val="맑은 고딕"/>
        <family val="2"/>
      </rPr>
      <t>표시</t>
    </r>
    <r>
      <rPr>
        <sz val="9"/>
        <color theme="1"/>
        <rFont val="Calibri"/>
        <family val="2"/>
      </rPr>
      <t xml:space="preserve"> </t>
    </r>
    <r>
      <rPr>
        <sz val="9"/>
        <color theme="1"/>
        <rFont val="맑은 고딕"/>
        <family val="2"/>
      </rPr>
      <t>방법</t>
    </r>
  </si>
  <si>
    <t>Gantt Chart View Style</t>
  </si>
  <si>
    <r>
      <t xml:space="preserve">Gantt Chart </t>
    </r>
    <r>
      <rPr>
        <sz val="9"/>
        <color theme="1"/>
        <rFont val="맑은 고딕"/>
        <family val="2"/>
      </rPr>
      <t>보기</t>
    </r>
    <r>
      <rPr>
        <sz val="9"/>
        <color theme="1"/>
        <rFont val="Calibri"/>
        <family val="2"/>
      </rPr>
      <t xml:space="preserve"> </t>
    </r>
    <r>
      <rPr>
        <sz val="9"/>
        <color theme="1"/>
        <rFont val="맑은 고딕"/>
        <family val="2"/>
      </rPr>
      <t>형식</t>
    </r>
  </si>
  <si>
    <t>Gantt Chart Zoom Ratio</t>
  </si>
  <si>
    <r>
      <t xml:space="preserve">Gantt Chart </t>
    </r>
    <r>
      <rPr>
        <sz val="9"/>
        <color theme="1"/>
        <rFont val="맑은 고딕"/>
        <family val="2"/>
      </rPr>
      <t>축소</t>
    </r>
    <r>
      <rPr>
        <sz val="9"/>
        <color theme="1"/>
        <rFont val="Calibri"/>
        <family val="2"/>
      </rPr>
      <t>/</t>
    </r>
    <r>
      <rPr>
        <sz val="9"/>
        <color theme="1"/>
        <rFont val="맑은 고딕"/>
        <family val="2"/>
      </rPr>
      <t>확대</t>
    </r>
    <r>
      <rPr>
        <sz val="9"/>
        <color theme="1"/>
        <rFont val="Calibri"/>
        <family val="2"/>
      </rPr>
      <t xml:space="preserve"> </t>
    </r>
    <r>
      <rPr>
        <sz val="9"/>
        <color theme="1"/>
        <rFont val="맑은 고딕"/>
        <family val="2"/>
      </rPr>
      <t>비율</t>
    </r>
  </si>
  <si>
    <t>General</t>
  </si>
  <si>
    <r>
      <rPr>
        <sz val="9"/>
        <color theme="1"/>
        <rFont val="맑은 고딕"/>
        <family val="2"/>
      </rPr>
      <t>일반</t>
    </r>
    <phoneticPr fontId="2" type="noConversion"/>
  </si>
  <si>
    <t>If the language in source file and the language in target file are different, you can not import.</t>
  </si>
  <si>
    <r>
      <rPr>
        <sz val="9"/>
        <color theme="1"/>
        <rFont val="맑은 고딕"/>
        <family val="2"/>
      </rPr>
      <t>가져오는</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소스파일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이</t>
    </r>
    <r>
      <rPr>
        <sz val="9"/>
        <color theme="1"/>
        <rFont val="Calibri"/>
        <family val="2"/>
      </rPr>
      <t xml:space="preserve"> </t>
    </r>
    <r>
      <rPr>
        <sz val="9"/>
        <color theme="1"/>
        <rFont val="맑은 고딕"/>
        <family val="2"/>
      </rPr>
      <t>파일</t>
    </r>
    <r>
      <rPr>
        <sz val="9"/>
        <color theme="1"/>
        <rFont val="Calibri"/>
        <family val="2"/>
      </rPr>
      <t>(</t>
    </r>
    <r>
      <rPr>
        <sz val="9"/>
        <color theme="1"/>
        <rFont val="맑은 고딕"/>
        <family val="2"/>
      </rPr>
      <t>타겟파일</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언어가</t>
    </r>
    <r>
      <rPr>
        <sz val="9"/>
        <color theme="1"/>
        <rFont val="Calibri"/>
        <family val="2"/>
      </rPr>
      <t xml:space="preserve"> </t>
    </r>
    <r>
      <rPr>
        <sz val="9"/>
        <color theme="1"/>
        <rFont val="맑은 고딕"/>
        <family val="2"/>
      </rPr>
      <t>다르면</t>
    </r>
    <r>
      <rPr>
        <sz val="9"/>
        <color theme="1"/>
        <rFont val="Calibri"/>
        <family val="2"/>
      </rPr>
      <t xml:space="preserve"> Import</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</si>
  <si>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If you choose "Assigning path by task name automatically" option, you need to set the upper path.</t>
  </si>
  <si>
    <r>
      <rPr>
        <sz val="9"/>
        <color theme="1"/>
        <rFont val="맑은 고딕"/>
        <family val="2"/>
      </rPr>
      <t>작업명으로</t>
    </r>
    <r>
      <rPr>
        <sz val="9"/>
        <color theme="1"/>
        <rFont val="Calibri"/>
        <family val="2"/>
      </rPr>
      <t xml:space="preserve"> </t>
    </r>
    <r>
      <rPr>
        <sz val="9"/>
        <color theme="1"/>
        <rFont val="맑은 고딕"/>
        <family val="2"/>
      </rPr>
      <t>하위</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자동지정을</t>
    </r>
    <r>
      <rPr>
        <sz val="9"/>
        <color theme="1"/>
        <rFont val="Calibri"/>
        <family val="2"/>
      </rPr>
      <t xml:space="preserve"> </t>
    </r>
    <r>
      <rPr>
        <sz val="9"/>
        <color theme="1"/>
        <rFont val="맑은 고딕"/>
        <family val="2"/>
      </rPr>
      <t>선택한</t>
    </r>
    <r>
      <rPr>
        <sz val="9"/>
        <color theme="1"/>
        <rFont val="Calibri"/>
        <family val="2"/>
      </rPr>
      <t xml:space="preserve"> </t>
    </r>
    <r>
      <rPr>
        <sz val="9"/>
        <color theme="1"/>
        <rFont val="맑은 고딕"/>
        <family val="2"/>
      </rPr>
      <t>경우에는</t>
    </r>
    <r>
      <rPr>
        <sz val="9"/>
        <color theme="1"/>
        <rFont val="Calibri"/>
        <family val="2"/>
      </rPr>
      <t xml:space="preserve"> </t>
    </r>
    <r>
      <rPr>
        <sz val="9"/>
        <color theme="1"/>
        <rFont val="맑은 고딕"/>
        <family val="2"/>
      </rPr>
      <t>상위의</t>
    </r>
    <r>
      <rPr>
        <sz val="9"/>
        <color theme="1"/>
        <rFont val="Calibri"/>
        <family val="2"/>
      </rPr>
      <t xml:space="preserve"> </t>
    </r>
    <r>
      <rPr>
        <sz val="9"/>
        <color theme="1"/>
        <rFont val="맑은 고딕"/>
        <family val="2"/>
      </rPr>
      <t>기본경로를</t>
    </r>
    <r>
      <rPr>
        <sz val="9"/>
        <color theme="1"/>
        <rFont val="Calibri"/>
        <family val="2"/>
      </rPr>
      <t xml:space="preserve"> </t>
    </r>
    <r>
      <rPr>
        <sz val="9"/>
        <color theme="1"/>
        <rFont val="맑은 고딕"/>
        <family val="2"/>
      </rPr>
      <t>설정해야</t>
    </r>
    <r>
      <rPr>
        <sz val="9"/>
        <color theme="1"/>
        <rFont val="Calibri"/>
        <family val="2"/>
      </rPr>
      <t xml:space="preserve"> </t>
    </r>
    <r>
      <rPr>
        <sz val="9"/>
        <color theme="1"/>
        <rFont val="맑은 고딕"/>
        <family val="2"/>
      </rPr>
      <t>합니다</t>
    </r>
    <r>
      <rPr>
        <sz val="9"/>
        <color theme="1"/>
        <rFont val="Calibri"/>
        <family val="2"/>
      </rPr>
      <t>.</t>
    </r>
  </si>
  <si>
    <t>If you do not enter the actual finish date of row number {1} in the {2} sheet, you can't enter "%Work Complete" as 100%.</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</si>
  <si>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실제시작일만</t>
    </r>
    <r>
      <rPr>
        <sz val="9"/>
        <color theme="1"/>
        <rFont val="Calibri"/>
        <family val="2"/>
      </rPr>
      <t xml:space="preserve"> </t>
    </r>
    <r>
      <rPr>
        <sz val="9"/>
        <color theme="1"/>
        <rFont val="맑은 고딕"/>
        <family val="2"/>
      </rPr>
      <t>입력하고</t>
    </r>
    <r>
      <rPr>
        <sz val="9"/>
        <color theme="1"/>
        <rFont val="Calibri"/>
        <family val="2"/>
      </rPr>
      <t xml:space="preserve"> </t>
    </r>
    <r>
      <rPr>
        <sz val="9"/>
        <color theme="1"/>
        <rFont val="맑은 고딕"/>
        <family val="2"/>
      </rPr>
      <t>실제완료일을</t>
    </r>
    <r>
      <rPr>
        <sz val="9"/>
        <color theme="1"/>
        <rFont val="Calibri"/>
        <family val="2"/>
      </rPr>
      <t xml:space="preserve"> </t>
    </r>
    <r>
      <rPr>
        <sz val="9"/>
        <color theme="1"/>
        <rFont val="맑은 고딕"/>
        <family val="2"/>
      </rPr>
      <t>비워놓으면</t>
    </r>
    <r>
      <rPr>
        <sz val="9"/>
        <color theme="1"/>
        <rFont val="Calibri"/>
        <family val="2"/>
      </rPr>
      <t xml:space="preserve"> </t>
    </r>
    <r>
      <rPr>
        <sz val="9"/>
        <color theme="1"/>
        <rFont val="맑은 고딕"/>
        <family val="2"/>
      </rPr>
      <t>완료율을</t>
    </r>
    <r>
      <rPr>
        <sz val="9"/>
        <color theme="1"/>
        <rFont val="Calibri"/>
        <family val="2"/>
      </rPr>
      <t xml:space="preserve"> 100%</t>
    </r>
    <r>
      <rPr>
        <sz val="9"/>
        <color theme="1"/>
        <rFont val="맑은 고딕"/>
        <family val="2"/>
      </rPr>
      <t>로</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</si>
  <si>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Import</t>
  </si>
  <si>
    <r>
      <rPr>
        <sz val="9"/>
        <color theme="1"/>
        <rFont val="맑은 고딕"/>
        <family val="2"/>
      </rPr>
      <t>가져오기</t>
    </r>
  </si>
  <si>
    <t>Import common Excel file</t>
  </si>
  <si>
    <r>
      <rPr>
        <sz val="9"/>
        <color theme="1"/>
        <rFont val="맑은 고딕"/>
        <family val="2"/>
      </rPr>
      <t>일반</t>
    </r>
    <r>
      <rPr>
        <sz val="9"/>
        <color theme="1"/>
        <rFont val="Calibri"/>
        <family val="2"/>
      </rPr>
      <t xml:space="preserve"> Excel </t>
    </r>
    <r>
      <rPr>
        <sz val="9"/>
        <color theme="1"/>
        <rFont val="맑은 고딕"/>
        <family val="2"/>
      </rPr>
      <t>파일</t>
    </r>
  </si>
  <si>
    <t>Import data after clearing the existing data</t>
  </si>
  <si>
    <r>
      <rPr>
        <sz val="9"/>
        <color theme="1"/>
        <rFont val="맑은 고딕"/>
        <family val="2"/>
      </rPr>
      <t>기존</t>
    </r>
    <r>
      <rPr>
        <sz val="9"/>
        <color theme="1"/>
        <rFont val="Calibri"/>
        <family val="2"/>
      </rPr>
      <t xml:space="preserve">Data </t>
    </r>
    <r>
      <rPr>
        <sz val="9"/>
        <color theme="1"/>
        <rFont val="맑은 고딕"/>
        <family val="2"/>
      </rPr>
      <t>지우고</t>
    </r>
    <r>
      <rPr>
        <sz val="9"/>
        <color theme="1"/>
        <rFont val="Calibri"/>
        <family val="2"/>
      </rPr>
      <t xml:space="preserve"> </t>
    </r>
    <r>
      <rPr>
        <sz val="9"/>
        <color theme="1"/>
        <rFont val="맑은 고딕"/>
        <family val="2"/>
      </rPr>
      <t>가져오기</t>
    </r>
  </si>
  <si>
    <t>Import Data without Clearing the Existing Data</t>
  </si>
  <si>
    <r>
      <rPr>
        <sz val="9"/>
        <color theme="1"/>
        <rFont val="맑은 고딕"/>
        <family val="2"/>
      </rPr>
      <t>기존</t>
    </r>
    <r>
      <rPr>
        <sz val="9"/>
        <color theme="1"/>
        <rFont val="Calibri"/>
        <family val="2"/>
      </rPr>
      <t xml:space="preserve">Data </t>
    </r>
    <r>
      <rPr>
        <sz val="9"/>
        <color theme="1"/>
        <rFont val="맑은 고딕"/>
        <family val="2"/>
      </rPr>
      <t>아래에</t>
    </r>
    <r>
      <rPr>
        <sz val="9"/>
        <color theme="1"/>
        <rFont val="Calibri"/>
        <family val="2"/>
      </rPr>
      <t xml:space="preserve"> </t>
    </r>
    <r>
      <rPr>
        <sz val="9"/>
        <color theme="1"/>
        <rFont val="맑은 고딕"/>
        <family val="2"/>
      </rPr>
      <t>추가하기</t>
    </r>
  </si>
  <si>
    <t>Import files created in XLGantt</t>
  </si>
  <si>
    <r>
      <t>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</si>
  <si>
    <t>Import new data into the Schedule sheet after clearing the exisint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</si>
  <si>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지우고</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_x000D_
</t>
    </r>
    <r>
      <rPr>
        <sz val="9"/>
        <color theme="1"/>
        <rFont val="맑은 고딕"/>
        <family val="2"/>
      </rPr>
      <t>붙여</t>
    </r>
    <r>
      <rPr>
        <sz val="9"/>
        <color theme="1"/>
        <rFont val="Calibri"/>
        <family val="2"/>
      </rPr>
      <t xml:space="preserve"> </t>
    </r>
    <r>
      <rPr>
        <sz val="9"/>
        <color theme="1"/>
        <rFont val="맑은 고딕"/>
        <family val="2"/>
      </rPr>
      <t>넣기</t>
    </r>
  </si>
  <si>
    <t>Import new data into the Schedule sheet without clearing the existing  data</t>
  </si>
  <si>
    <r>
      <rPr>
        <sz val="9"/>
        <color theme="1"/>
        <rFont val="맑은 고딕"/>
        <family val="2"/>
      </rPr>
      <t>이</t>
    </r>
    <r>
      <rPr>
        <sz val="9"/>
        <color theme="1"/>
        <rFont val="Calibri"/>
        <family val="2"/>
      </rPr>
      <t xml:space="preserve"> XLGantt</t>
    </r>
    <r>
      <rPr>
        <sz val="9"/>
        <color theme="1"/>
        <rFont val="맑은 고딕"/>
        <family val="2"/>
      </rPr>
      <t>파일에</t>
    </r>
    <r>
      <rPr>
        <sz val="9"/>
        <color theme="1"/>
        <rFont val="Calibri"/>
        <family val="2"/>
      </rPr>
      <t xml:space="preserve"> </t>
    </r>
    <r>
      <rPr>
        <sz val="9"/>
        <color theme="1"/>
        <rFont val="맑은 고딕"/>
        <family val="2"/>
      </rPr>
      <t>있는</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그대로</t>
    </r>
    <r>
      <rPr>
        <sz val="9"/>
        <color theme="1"/>
        <rFont val="Calibri"/>
        <family val="2"/>
      </rPr>
      <t xml:space="preserve"> </t>
    </r>
    <r>
      <rPr>
        <sz val="9"/>
        <color theme="1"/>
        <rFont val="맑은 고딕"/>
        <family val="2"/>
      </rPr>
      <t>두고</t>
    </r>
    <r>
      <rPr>
        <sz val="9"/>
        <color theme="1"/>
        <rFont val="Calibri"/>
        <family val="2"/>
      </rPr>
      <t xml:space="preserve"> </t>
    </r>
    <r>
      <rPr>
        <sz val="9"/>
        <color theme="1"/>
        <rFont val="맑은 고딕"/>
        <family val="2"/>
      </rPr>
      <t>맨</t>
    </r>
    <r>
      <rPr>
        <sz val="9"/>
        <color theme="1"/>
        <rFont val="Calibri"/>
        <family val="2"/>
      </rPr>
      <t xml:space="preserve"> </t>
    </r>
    <r>
      <rPr>
        <sz val="9"/>
        <color theme="1"/>
        <rFont val="맑은 고딕"/>
        <family val="2"/>
      </rPr>
      <t>아래에</t>
    </r>
    <r>
      <rPr>
        <sz val="9"/>
        <color theme="1"/>
        <rFont val="Calibri"/>
        <family val="2"/>
      </rPr>
      <t xml:space="preserve"> </t>
    </r>
    <r>
      <rPr>
        <sz val="9"/>
        <color theme="1"/>
        <rFont val="맑은 고딕"/>
        <family val="2"/>
      </rPr>
      <t>새로운</t>
    </r>
    <r>
      <rPr>
        <sz val="9"/>
        <color theme="1"/>
        <rFont val="Calibri"/>
        <family val="2"/>
      </rPr>
      <t xml:space="preserve"> Data</t>
    </r>
    <r>
      <rPr>
        <sz val="9"/>
        <color theme="1"/>
        <rFont val="맑은 고딕"/>
        <family val="2"/>
      </rPr>
      <t>를</t>
    </r>
    <r>
      <rPr>
        <sz val="9"/>
        <color theme="1"/>
        <rFont val="Calibri"/>
        <family val="2"/>
      </rPr>
      <t xml:space="preserve"> </t>
    </r>
    <r>
      <rPr>
        <sz val="9"/>
        <color theme="1"/>
        <rFont val="맑은 고딕"/>
        <family val="2"/>
      </rPr>
      <t>가져와서</t>
    </r>
    <r>
      <rPr>
        <sz val="9"/>
        <color theme="1"/>
        <rFont val="Calibri"/>
        <family val="2"/>
      </rPr>
      <t xml:space="preserve"> </t>
    </r>
    <r>
      <rPr>
        <sz val="9"/>
        <color theme="1"/>
        <rFont val="맑은 고딕"/>
        <family val="2"/>
      </rPr>
      <t>붙여</t>
    </r>
    <r>
      <rPr>
        <sz val="9"/>
        <color theme="1"/>
        <rFont val="Calibri"/>
        <family val="2"/>
      </rPr>
      <t xml:space="preserve"> </t>
    </r>
    <r>
      <rPr>
        <sz val="9"/>
        <color theme="1"/>
        <rFont val="맑은 고딕"/>
        <family val="2"/>
      </rPr>
      <t>넣기</t>
    </r>
  </si>
  <si>
    <t>Import Option</t>
  </si>
  <si>
    <r>
      <rPr>
        <sz val="9"/>
        <color theme="1"/>
        <rFont val="맑은 고딕"/>
        <family val="2"/>
      </rPr>
      <t>가져오기</t>
    </r>
    <r>
      <rPr>
        <sz val="9"/>
        <color theme="1"/>
        <rFont val="Calibri"/>
        <family val="2"/>
      </rPr>
      <t xml:space="preserve"> </t>
    </r>
    <r>
      <rPr>
        <sz val="9"/>
        <color theme="1"/>
        <rFont val="맑은 고딕"/>
        <family val="2"/>
      </rPr>
      <t>옵션</t>
    </r>
  </si>
  <si>
    <t xml:space="preserve">Import success!\nTotal rows of imported data : </t>
  </si>
  <si>
    <r>
      <rPr>
        <sz val="9"/>
        <color theme="1"/>
        <rFont val="맑은 고딕"/>
        <family val="2"/>
      </rPr>
      <t>가져오기</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완료되었습니다</t>
    </r>
    <r>
      <rPr>
        <sz val="9"/>
        <color theme="1"/>
        <rFont val="Calibri"/>
        <family val="2"/>
      </rPr>
      <t>.\n</t>
    </r>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행수</t>
    </r>
    <r>
      <rPr>
        <sz val="9"/>
        <color theme="1"/>
        <rFont val="Calibri"/>
        <family val="2"/>
      </rPr>
      <t xml:space="preserve"> : </t>
    </r>
  </si>
  <si>
    <t>Import without clearing the existing data.</t>
  </si>
  <si>
    <r>
      <rPr>
        <sz val="9"/>
        <color theme="1"/>
        <rFont val="맑은 고딕"/>
        <family val="2"/>
      </rPr>
      <t>기존</t>
    </r>
    <r>
      <rPr>
        <sz val="9"/>
        <color theme="1"/>
        <rFont val="Calibri"/>
        <family val="2"/>
      </rPr>
      <t>Data</t>
    </r>
    <r>
      <rPr>
        <sz val="9"/>
        <color theme="1"/>
        <rFont val="맑은 고딕"/>
        <family val="2"/>
      </rPr>
      <t>에</t>
    </r>
    <r>
      <rPr>
        <sz val="9"/>
        <color theme="1"/>
        <rFont val="Calibri"/>
        <family val="2"/>
      </rPr>
      <t xml:space="preserve"> </t>
    </r>
    <r>
      <rPr>
        <sz val="9"/>
        <color theme="1"/>
        <rFont val="맑은 고딕"/>
        <family val="2"/>
      </rPr>
      <t>추가하기</t>
    </r>
  </si>
  <si>
    <t>Import Wizard</t>
  </si>
  <si>
    <r>
      <rPr>
        <sz val="9"/>
        <color theme="1"/>
        <rFont val="맑은 고딕"/>
        <family val="2"/>
      </rPr>
      <t>파일</t>
    </r>
    <r>
      <rPr>
        <sz val="9"/>
        <color theme="1"/>
        <rFont val="Calibri"/>
        <family val="2"/>
      </rPr>
      <t xml:space="preserve"> </t>
    </r>
    <r>
      <rPr>
        <sz val="9"/>
        <color theme="1"/>
        <rFont val="맑은 고딕"/>
        <family val="2"/>
      </rPr>
      <t>가져오기</t>
    </r>
  </si>
  <si>
    <t>Importing..., Please wait...</t>
  </si>
  <si>
    <r>
      <rPr>
        <sz val="9"/>
        <color theme="1"/>
        <rFont val="맑은 고딕"/>
        <family val="2"/>
      </rPr>
      <t>자료를</t>
    </r>
    <r>
      <rPr>
        <sz val="9"/>
        <color theme="1"/>
        <rFont val="Calibri"/>
        <family val="2"/>
      </rPr>
      <t xml:space="preserve"> </t>
    </r>
    <r>
      <rPr>
        <sz val="9"/>
        <color theme="1"/>
        <rFont val="맑은 고딕"/>
        <family val="2"/>
      </rPr>
      <t>가져옵니다</t>
    </r>
    <r>
      <rPr>
        <sz val="9"/>
        <color theme="1"/>
        <rFont val="Calibri"/>
        <family val="2"/>
      </rPr>
      <t xml:space="preserve">. </t>
    </r>
    <r>
      <rPr>
        <sz val="9"/>
        <color theme="1"/>
        <rFont val="맑은 고딕"/>
        <family val="2"/>
      </rPr>
      <t>잠시만</t>
    </r>
    <r>
      <rPr>
        <sz val="9"/>
        <color theme="1"/>
        <rFont val="Calibri"/>
        <family val="2"/>
      </rPr>
      <t xml:space="preserve"> </t>
    </r>
    <r>
      <rPr>
        <sz val="9"/>
        <color theme="1"/>
        <rFont val="맑은 고딕"/>
        <family val="2"/>
      </rPr>
      <t>기다려주세요</t>
    </r>
    <r>
      <rPr>
        <sz val="9"/>
        <color theme="1"/>
        <rFont val="Calibri"/>
        <family val="2"/>
      </rPr>
      <t>...</t>
    </r>
  </si>
  <si>
    <t>Included in the selection\nlist when deliverables\nnot specified</t>
  </si>
  <si>
    <r>
      <rPr>
        <sz val="9"/>
        <color theme="1"/>
        <rFont val="맑은 고딕"/>
        <family val="2"/>
      </rPr>
      <t>산출물명</t>
    </r>
    <r>
      <rPr>
        <sz val="9"/>
        <color theme="1"/>
        <rFont val="Calibri"/>
        <family val="2"/>
      </rPr>
      <t xml:space="preserve"> </t>
    </r>
    <r>
      <rPr>
        <sz val="9"/>
        <color theme="1"/>
        <rFont val="맑은 고딕"/>
        <family val="2"/>
      </rPr>
      <t>비었을때</t>
    </r>
    <r>
      <rPr>
        <sz val="9"/>
        <color theme="1"/>
        <rFont val="Calibri"/>
        <family val="2"/>
      </rPr>
      <t>\n</t>
    </r>
    <r>
      <rPr>
        <sz val="9"/>
        <color theme="1"/>
        <rFont val="맑은 고딕"/>
        <family val="2"/>
      </rPr>
      <t>선택목록에</t>
    </r>
    <r>
      <rPr>
        <sz val="9"/>
        <color theme="1"/>
        <rFont val="Calibri"/>
        <family val="2"/>
      </rPr>
      <t xml:space="preserve"> </t>
    </r>
    <r>
      <rPr>
        <sz val="9"/>
        <color theme="1"/>
        <rFont val="맑은 고딕"/>
        <family val="2"/>
      </rPr>
      <t>포함</t>
    </r>
    <r>
      <rPr>
        <sz val="9"/>
        <color theme="1"/>
        <rFont val="Calibri"/>
        <family val="2"/>
      </rPr>
      <t>\n</t>
    </r>
    <r>
      <rPr>
        <sz val="9"/>
        <color theme="1"/>
        <rFont val="맑은 고딕"/>
        <family val="2"/>
      </rPr>
      <t>여부</t>
    </r>
  </si>
  <si>
    <t>Indent Task</t>
  </si>
  <si>
    <r>
      <rPr>
        <sz val="9"/>
        <color theme="1"/>
        <rFont val="맑은 고딕"/>
        <family val="2"/>
      </rPr>
      <t>작업레벨</t>
    </r>
    <r>
      <rPr>
        <sz val="9"/>
        <color theme="1"/>
        <rFont val="Calibri"/>
        <family val="2"/>
      </rPr>
      <t xml:space="preserve"> </t>
    </r>
    <r>
      <rPr>
        <sz val="9"/>
        <color theme="1"/>
        <rFont val="맑은 고딕"/>
        <family val="2"/>
      </rPr>
      <t>내림</t>
    </r>
  </si>
  <si>
    <t>Inside of the chart</t>
  </si>
  <si>
    <r>
      <t xml:space="preserve">Chart </t>
    </r>
    <r>
      <rPr>
        <sz val="9"/>
        <color theme="1"/>
        <rFont val="맑은 고딕"/>
        <family val="2"/>
      </rPr>
      <t>내부</t>
    </r>
  </si>
  <si>
    <t>It recalculates duration and % Work Complete. Clicking the Save button will be the same.</t>
  </si>
  <si>
    <t>It's already chosen language.</t>
  </si>
  <si>
    <r>
      <rPr>
        <sz val="9"/>
        <color theme="1"/>
        <rFont val="맑은 고딕"/>
        <family val="2"/>
      </rPr>
      <t>이미</t>
    </r>
    <r>
      <rPr>
        <sz val="9"/>
        <color theme="1"/>
        <rFont val="Calibri"/>
        <family val="2"/>
      </rPr>
      <t xml:space="preserve"> </t>
    </r>
    <r>
      <rPr>
        <sz val="9"/>
        <color theme="1"/>
        <rFont val="맑은 고딕"/>
        <family val="2"/>
      </rPr>
      <t>선택된</t>
    </r>
    <r>
      <rPr>
        <sz val="9"/>
        <color theme="1"/>
        <rFont val="Calibri"/>
        <family val="2"/>
      </rPr>
      <t xml:space="preserve"> </t>
    </r>
    <r>
      <rPr>
        <sz val="9"/>
        <color theme="1"/>
        <rFont val="맑은 고딕"/>
        <family val="2"/>
      </rPr>
      <t>언어입니다</t>
    </r>
    <r>
      <rPr>
        <sz val="9"/>
        <color theme="1"/>
        <rFont val="Calibri"/>
        <family val="2"/>
      </rPr>
      <t>.</t>
    </r>
  </si>
  <si>
    <t>Job Results</t>
  </si>
  <si>
    <r>
      <rPr>
        <sz val="9"/>
        <color theme="1"/>
        <rFont val="맑은 고딕"/>
        <family val="2"/>
      </rPr>
      <t>작업결과</t>
    </r>
  </si>
  <si>
    <t>John</t>
  </si>
  <si>
    <r>
      <rPr>
        <sz val="9"/>
        <color theme="1"/>
        <rFont val="맑은 고딕"/>
        <family val="2"/>
      </rPr>
      <t>홍길동</t>
    </r>
  </si>
  <si>
    <t>Language</t>
  </si>
  <si>
    <r>
      <rPr>
        <sz val="9"/>
        <color theme="1"/>
        <rFont val="맑은 고딕"/>
        <family val="2"/>
      </rPr>
      <t>언어</t>
    </r>
    <phoneticPr fontId="2" type="noConversion"/>
  </si>
  <si>
    <t>Left of the chart</t>
  </si>
  <si>
    <r>
      <t xml:space="preserve">Chart </t>
    </r>
    <r>
      <rPr>
        <sz val="9"/>
        <color theme="1"/>
        <rFont val="맑은 고딕"/>
        <family val="2"/>
      </rPr>
      <t>왼쪽</t>
    </r>
  </si>
  <si>
    <t>License</t>
  </si>
  <si>
    <r>
      <rPr>
        <sz val="9"/>
        <color theme="1"/>
        <rFont val="맑은 고딕"/>
        <family val="2"/>
      </rPr>
      <t>라이선스</t>
    </r>
  </si>
  <si>
    <t>Managing Schedule Changes</t>
  </si>
  <si>
    <r>
      <rPr>
        <sz val="9"/>
        <color theme="1"/>
        <rFont val="맑은 고딕"/>
        <family val="2"/>
      </rPr>
      <t>일정변경</t>
    </r>
    <r>
      <rPr>
        <sz val="9"/>
        <color theme="1"/>
        <rFont val="Calibri"/>
        <family val="2"/>
      </rPr>
      <t xml:space="preserve"> </t>
    </r>
    <r>
      <rPr>
        <sz val="9"/>
        <color theme="1"/>
        <rFont val="맑은 고딕"/>
        <family val="2"/>
      </rPr>
      <t>관리함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t>
    </r>
    <r>
      <rPr>
        <sz val="9"/>
        <color theme="1"/>
        <rFont val="Calibri"/>
        <family val="2"/>
      </rPr>
      <t xml:space="preserve"> </t>
    </r>
    <r>
      <rPr>
        <sz val="9"/>
        <color theme="1"/>
        <rFont val="맑은 고딕"/>
        <family val="2"/>
      </rPr>
      <t>사용</t>
    </r>
    <r>
      <rPr>
        <sz val="9"/>
        <color theme="1"/>
        <rFont val="Calibri"/>
        <family val="2"/>
      </rPr>
      <t>)</t>
    </r>
  </si>
  <si>
    <t>Man-Day</t>
  </si>
  <si>
    <t>Man-Month</t>
  </si>
  <si>
    <t>Map &gt;&gt;</t>
  </si>
  <si>
    <t>Mapping &gt;&gt;</t>
  </si>
  <si>
    <t>mm/dd/yyyy</t>
  </si>
  <si>
    <t>yyyy/mm/dd</t>
    <phoneticPr fontId="2" type="noConversion"/>
  </si>
  <si>
    <t>mmmm yyyy</t>
  </si>
  <si>
    <r>
      <t>yyyy</t>
    </r>
    <r>
      <rPr>
        <sz val="9"/>
        <color theme="1"/>
        <rFont val="맑은 고딕"/>
        <family val="2"/>
      </rPr>
      <t>년</t>
    </r>
    <r>
      <rPr>
        <sz val="9"/>
        <color theme="1"/>
        <rFont val="Calibri"/>
        <family val="2"/>
      </rPr>
      <t xml:space="preserve"> m</t>
    </r>
    <r>
      <rPr>
        <sz val="9"/>
        <color theme="1"/>
        <rFont val="맑은 고딕"/>
        <family val="2"/>
      </rPr>
      <t>월</t>
    </r>
  </si>
  <si>
    <t>Mon</t>
  </si>
  <si>
    <r>
      <rPr>
        <sz val="9"/>
        <color theme="1"/>
        <rFont val="맑은 고딕"/>
        <family val="2"/>
      </rPr>
      <t>월</t>
    </r>
  </si>
  <si>
    <t>Monthly</t>
  </si>
  <si>
    <r>
      <rPr>
        <sz val="9"/>
        <color theme="1"/>
        <rFont val="맑은 고딕"/>
        <family val="2"/>
      </rPr>
      <t>월별</t>
    </r>
  </si>
  <si>
    <t>Monthly view</t>
  </si>
  <si>
    <r>
      <rPr>
        <sz val="9"/>
        <color theme="1"/>
        <rFont val="맑은 고딕"/>
        <family val="2"/>
      </rPr>
      <t>월별보기</t>
    </r>
  </si>
  <si>
    <t>Months</t>
  </si>
  <si>
    <t>Name of Nonworking Days</t>
  </si>
  <si>
    <r>
      <rPr>
        <sz val="9"/>
        <color theme="1"/>
        <rFont val="맑은 고딕"/>
        <family val="2"/>
      </rPr>
      <t>휴무일명</t>
    </r>
  </si>
  <si>
    <t>New Version</t>
  </si>
  <si>
    <r>
      <rPr>
        <sz val="9"/>
        <color theme="1"/>
        <rFont val="맑은 고딕"/>
        <family val="2"/>
      </rPr>
      <t>최신</t>
    </r>
    <r>
      <rPr>
        <sz val="9"/>
        <color theme="1"/>
        <rFont val="Calibri"/>
        <family val="2"/>
      </rPr>
      <t xml:space="preserve"> </t>
    </r>
    <r>
      <rPr>
        <sz val="9"/>
        <color theme="1"/>
        <rFont val="맑은 고딕"/>
        <family val="2"/>
      </rPr>
      <t>버전</t>
    </r>
  </si>
  <si>
    <t>Next &gt;&gt;</t>
  </si>
  <si>
    <r>
      <rPr>
        <sz val="9"/>
        <color theme="1"/>
        <rFont val="맑은 고딕"/>
        <family val="2"/>
      </rPr>
      <t>다음</t>
    </r>
    <r>
      <rPr>
        <sz val="9"/>
        <color theme="1"/>
        <rFont val="Calibri"/>
        <family val="2"/>
      </rPr>
      <t xml:space="preserve"> &gt;&gt;</t>
    </r>
  </si>
  <si>
    <t>No need to enter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</si>
  <si>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</si>
  <si>
    <t>No need to enter Saturdays and Sundays in the Calendar sheet</t>
  </si>
  <si>
    <r>
      <rPr>
        <sz val="9"/>
        <color theme="1"/>
        <rFont val="맑은 고딕"/>
        <family val="2"/>
      </rPr>
      <t>토요일</t>
    </r>
    <r>
      <rPr>
        <sz val="9"/>
        <color theme="1"/>
        <rFont val="Calibri"/>
        <family val="2"/>
      </rPr>
      <t>,</t>
    </r>
    <r>
      <rPr>
        <sz val="9"/>
        <color theme="1"/>
        <rFont val="맑은 고딕"/>
        <family val="2"/>
      </rPr>
      <t>일요일은</t>
    </r>
    <r>
      <rPr>
        <sz val="9"/>
        <color theme="1"/>
        <rFont val="Calibri"/>
        <family val="2"/>
      </rPr>
      <t xml:space="preserve"> Calendar sheet</t>
    </r>
    <r>
      <rPr>
        <sz val="9"/>
        <color theme="1"/>
        <rFont val="맑은 고딕"/>
        <family val="2"/>
      </rPr>
      <t>에</t>
    </r>
    <r>
      <rPr>
        <sz val="9"/>
        <color theme="1"/>
        <rFont val="Calibri"/>
        <family val="2"/>
      </rPr>
      <t xml:space="preserve"> </t>
    </r>
    <r>
      <rPr>
        <sz val="9"/>
        <color theme="1"/>
        <rFont val="맑은 고딕"/>
        <family val="2"/>
      </rPr>
      <t>입력할</t>
    </r>
    <r>
      <rPr>
        <sz val="9"/>
        <color theme="1"/>
        <rFont val="Calibri"/>
        <family val="2"/>
      </rPr>
      <t xml:space="preserve"> </t>
    </r>
    <r>
      <rPr>
        <sz val="9"/>
        <color theme="1"/>
        <rFont val="맑은 고딕"/>
        <family val="2"/>
      </rPr>
      <t>필요</t>
    </r>
    <r>
      <rPr>
        <sz val="9"/>
        <color theme="1"/>
        <rFont val="Calibri"/>
        <family val="2"/>
      </rPr>
      <t xml:space="preserve"> </t>
    </r>
    <r>
      <rPr>
        <sz val="9"/>
        <color theme="1"/>
        <rFont val="맑은 고딕"/>
        <family val="2"/>
      </rPr>
      <t>없음</t>
    </r>
    <phoneticPr fontId="2" type="noConversion"/>
  </si>
  <si>
    <t>Nonworking Days</t>
  </si>
  <si>
    <r>
      <rPr>
        <sz val="9"/>
        <color theme="1"/>
        <rFont val="맑은 고딕"/>
        <family val="2"/>
      </rPr>
      <t>휴무일자</t>
    </r>
  </si>
  <si>
    <t>Not Completed(&lt;&gt;100%)</t>
  </si>
  <si>
    <r>
      <rPr>
        <sz val="9"/>
        <color theme="1"/>
        <rFont val="맑은 고딕"/>
        <family val="2"/>
      </rPr>
      <t>미완료</t>
    </r>
  </si>
  <si>
    <t>Not Managing Schedule Changes</t>
  </si>
  <si>
    <r>
      <rPr>
        <sz val="9"/>
        <color theme="1"/>
        <rFont val="맑은 고딕"/>
        <family val="2"/>
      </rPr>
      <t>일정변경</t>
    </r>
    <r>
      <rPr>
        <sz val="9"/>
        <color theme="1"/>
        <rFont val="Calibri"/>
        <family val="2"/>
      </rPr>
      <t xml:space="preserve"> </t>
    </r>
    <r>
      <rPr>
        <sz val="9"/>
        <color theme="1"/>
        <rFont val="맑은 고딕"/>
        <family val="2"/>
      </rPr>
      <t>관리</t>
    </r>
    <r>
      <rPr>
        <sz val="9"/>
        <color theme="1"/>
        <rFont val="Calibri"/>
        <family val="2"/>
      </rPr>
      <t xml:space="preserve"> </t>
    </r>
    <r>
      <rPr>
        <sz val="9"/>
        <color theme="1"/>
        <rFont val="맑은 고딕"/>
        <family val="2"/>
      </rPr>
      <t>안함</t>
    </r>
    <r>
      <rPr>
        <sz val="9"/>
        <color theme="1"/>
        <rFont val="Calibri"/>
        <family val="2"/>
      </rPr>
      <t>(</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t>
    </r>
    <r>
      <rPr>
        <sz val="9"/>
        <color theme="1"/>
        <rFont val="Calibri"/>
        <family val="2"/>
      </rPr>
      <t>)</t>
    </r>
  </si>
  <si>
    <t>Not Specified(Standard Calendar)</t>
  </si>
  <si>
    <r>
      <rPr>
        <sz val="9"/>
        <color theme="1"/>
        <rFont val="맑은 고딕"/>
        <family val="2"/>
      </rPr>
      <t>지정하지</t>
    </r>
    <r>
      <rPr>
        <sz val="9"/>
        <color theme="1"/>
        <rFont val="Calibri"/>
        <family val="2"/>
      </rPr>
      <t xml:space="preserve"> </t>
    </r>
    <r>
      <rPr>
        <sz val="9"/>
        <color theme="1"/>
        <rFont val="맑은 고딕"/>
        <family val="2"/>
      </rPr>
      <t>않음</t>
    </r>
    <r>
      <rPr>
        <sz val="9"/>
        <color theme="1"/>
        <rFont val="Calibri"/>
        <family val="2"/>
      </rPr>
      <t>(</t>
    </r>
    <r>
      <rPr>
        <sz val="9"/>
        <color theme="1"/>
        <rFont val="맑은 고딕"/>
        <family val="2"/>
      </rPr>
      <t>표준캘린더</t>
    </r>
    <r>
      <rPr>
        <sz val="9"/>
        <color theme="1"/>
        <rFont val="Calibri"/>
        <family val="2"/>
      </rPr>
      <t>)</t>
    </r>
  </si>
  <si>
    <t>Note</t>
  </si>
  <si>
    <r>
      <rPr>
        <sz val="9"/>
        <color theme="1"/>
        <rFont val="맑은 고딕"/>
        <family val="2"/>
      </rPr>
      <t>비고</t>
    </r>
  </si>
  <si>
    <t>Of the first two rows, at least one has been deleted. Please retry after changing the sheet to its previous state.</t>
  </si>
  <si>
    <r>
      <t>1~2</t>
    </r>
    <r>
      <rPr>
        <sz val="9"/>
        <color theme="1"/>
        <rFont val="맑은 고딕"/>
        <family val="2"/>
      </rPr>
      <t>행</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한</t>
    </r>
    <r>
      <rPr>
        <sz val="9"/>
        <color theme="1"/>
        <rFont val="Calibri"/>
        <family val="2"/>
      </rPr>
      <t xml:space="preserve"> </t>
    </r>
    <r>
      <rPr>
        <sz val="9"/>
        <color theme="1"/>
        <rFont val="맑은 고딕"/>
        <family val="2"/>
      </rPr>
      <t>행이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작업하십시오</t>
    </r>
    <r>
      <rPr>
        <sz val="9"/>
        <color theme="1"/>
        <rFont val="Calibri"/>
        <family val="2"/>
      </rPr>
      <t>.</t>
    </r>
  </si>
  <si>
    <t>Once you choose "Display the task name in the same field" option, you should select a WBS No. or a WBS Level field.</t>
  </si>
  <si>
    <r>
      <t>"</t>
    </r>
    <r>
      <rPr>
        <sz val="9"/>
        <color theme="1"/>
        <rFont val="맑은 고딕"/>
        <family val="2"/>
      </rPr>
      <t>같은</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t>
    </r>
    <r>
      <rPr>
        <sz val="9"/>
        <color theme="1"/>
        <rFont val="Calibri"/>
        <family val="2"/>
      </rPr>
      <t xml:space="preserve"> </t>
    </r>
    <r>
      <rPr>
        <sz val="9"/>
        <color theme="1"/>
        <rFont val="맑은 고딕"/>
        <family val="2"/>
      </rPr>
      <t>표시</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선택했으면</t>
    </r>
    <r>
      <rPr>
        <sz val="9"/>
        <color theme="1"/>
        <rFont val="Calibri"/>
        <family val="2"/>
      </rPr>
      <t xml:space="preserve"> WBS No. </t>
    </r>
    <r>
      <rPr>
        <sz val="9"/>
        <color theme="1"/>
        <rFont val="맑은 고딕"/>
        <family val="2"/>
      </rPr>
      <t>또는</t>
    </r>
    <r>
      <rPr>
        <sz val="9"/>
        <color theme="1"/>
        <rFont val="Calibri"/>
        <family val="2"/>
      </rPr>
      <t xml:space="preserve"> </t>
    </r>
    <r>
      <rPr>
        <sz val="9"/>
        <color theme="1"/>
        <rFont val="맑은 고딕"/>
        <family val="2"/>
      </rPr>
      <t>개요수준</t>
    </r>
    <r>
      <rPr>
        <sz val="9"/>
        <color theme="1"/>
        <rFont val="Calibri"/>
        <family val="2"/>
      </rPr>
      <t xml:space="preserve">(WBS Level) </t>
    </r>
    <r>
      <rPr>
        <sz val="9"/>
        <color theme="1"/>
        <rFont val="맑은 고딕"/>
        <family val="2"/>
      </rPr>
      <t>필드</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하나는</t>
    </r>
    <r>
      <rPr>
        <sz val="9"/>
        <color theme="1"/>
        <rFont val="Calibri"/>
        <family val="2"/>
      </rPr>
      <t xml:space="preserve"> </t>
    </r>
    <r>
      <rPr>
        <sz val="9"/>
        <color theme="1"/>
        <rFont val="맑은 고딕"/>
        <family val="2"/>
      </rPr>
      <t>선택되어야</t>
    </r>
    <r>
      <rPr>
        <sz val="9"/>
        <color theme="1"/>
        <rFont val="Calibri"/>
        <family val="2"/>
      </rPr>
      <t xml:space="preserve"> </t>
    </r>
    <r>
      <rPr>
        <sz val="9"/>
        <color theme="1"/>
        <rFont val="맑은 고딕"/>
        <family val="2"/>
      </rPr>
      <t>합니다</t>
    </r>
  </si>
  <si>
    <t>Only Saturdays and Sundays</t>
  </si>
  <si>
    <r>
      <rPr>
        <sz val="9"/>
        <color theme="1"/>
        <rFont val="맑은 고딕"/>
        <family val="2"/>
      </rPr>
      <t>토요일</t>
    </r>
    <r>
      <rPr>
        <sz val="9"/>
        <color theme="1"/>
        <rFont val="Calibri"/>
        <family val="2"/>
      </rPr>
      <t>,</t>
    </r>
    <r>
      <rPr>
        <sz val="9"/>
        <color theme="1"/>
        <rFont val="맑은 고딕"/>
        <family val="2"/>
      </rPr>
      <t>일요일만</t>
    </r>
    <phoneticPr fontId="2" type="noConversion"/>
  </si>
  <si>
    <t>Only the dates entered in the Calendar sheet</t>
  </si>
  <si>
    <r>
      <t>Calendar sheet</t>
    </r>
    <r>
      <rPr>
        <sz val="9"/>
        <color theme="1"/>
        <rFont val="맑은 고딕"/>
        <family val="2"/>
      </rPr>
      <t>에</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날짜만</t>
    </r>
    <phoneticPr fontId="2" type="noConversion"/>
  </si>
  <si>
    <t>Open Deliverables</t>
  </si>
  <si>
    <r>
      <rPr>
        <sz val="9"/>
        <color theme="1"/>
        <rFont val="맑은 고딕"/>
        <family val="2"/>
      </rPr>
      <t>산출물</t>
    </r>
    <r>
      <rPr>
        <sz val="9"/>
        <color theme="1"/>
        <rFont val="Calibri"/>
        <family val="2"/>
      </rPr>
      <t xml:space="preserve"> </t>
    </r>
    <r>
      <rPr>
        <sz val="9"/>
        <color theme="1"/>
        <rFont val="맑은 고딕"/>
        <family val="2"/>
      </rPr>
      <t>열기</t>
    </r>
  </si>
  <si>
    <t>Open Deliverables Folder</t>
  </si>
  <si>
    <r>
      <rPr>
        <sz val="9"/>
        <color theme="1"/>
        <rFont val="맑은 고딕"/>
        <family val="2"/>
      </rPr>
      <t>산출물</t>
    </r>
    <r>
      <rPr>
        <sz val="9"/>
        <color theme="1"/>
        <rFont val="Calibri"/>
        <family val="2"/>
      </rPr>
      <t xml:space="preserve"> </t>
    </r>
    <r>
      <rPr>
        <sz val="9"/>
        <color theme="1"/>
        <rFont val="맑은 고딕"/>
        <family val="2"/>
      </rPr>
      <t>폴더</t>
    </r>
    <r>
      <rPr>
        <sz val="9"/>
        <color theme="1"/>
        <rFont val="Calibri"/>
        <family val="2"/>
      </rPr>
      <t xml:space="preserve"> </t>
    </r>
    <r>
      <rPr>
        <sz val="9"/>
        <color theme="1"/>
        <rFont val="맑은 고딕"/>
        <family val="2"/>
      </rPr>
      <t>열기</t>
    </r>
  </si>
  <si>
    <t>Options</t>
  </si>
  <si>
    <r>
      <rPr>
        <sz val="9"/>
        <color theme="1"/>
        <rFont val="맑은 고딕"/>
        <family val="2"/>
      </rPr>
      <t>옵션</t>
    </r>
  </si>
  <si>
    <t>Outdent Task</t>
  </si>
  <si>
    <r>
      <rPr>
        <sz val="9"/>
        <color theme="1"/>
        <rFont val="맑은 고딕"/>
        <family val="2"/>
      </rPr>
      <t>작업레벨</t>
    </r>
    <r>
      <rPr>
        <sz val="9"/>
        <color theme="1"/>
        <rFont val="Calibri"/>
        <family val="2"/>
      </rPr>
      <t xml:space="preserve"> </t>
    </r>
    <r>
      <rPr>
        <sz val="9"/>
        <color theme="1"/>
        <rFont val="맑은 고딕"/>
        <family val="2"/>
      </rPr>
      <t>올림</t>
    </r>
  </si>
  <si>
    <t>Outline Level</t>
  </si>
  <si>
    <r>
      <rPr>
        <sz val="9"/>
        <color theme="1"/>
        <rFont val="맑은 고딕"/>
        <family val="2"/>
      </rPr>
      <t>개요수준</t>
    </r>
  </si>
  <si>
    <t xml:space="preserve">Percent </t>
  </si>
  <si>
    <r>
      <rPr>
        <sz val="9"/>
        <color theme="1"/>
        <rFont val="맑은 고딕"/>
        <family val="2"/>
      </rPr>
      <t>퍼센트</t>
    </r>
    <r>
      <rPr>
        <sz val="9"/>
        <color theme="1"/>
        <rFont val="Calibri"/>
        <family val="2"/>
      </rPr>
      <t xml:space="preserve"> </t>
    </r>
    <r>
      <rPr>
        <sz val="9"/>
        <color theme="1"/>
        <rFont val="맑은 고딕"/>
        <family val="2"/>
      </rPr>
      <t>지정</t>
    </r>
  </si>
  <si>
    <t>Performed Work(C)\nMan-day</t>
  </si>
  <si>
    <r>
      <rPr>
        <sz val="9"/>
        <color theme="1"/>
        <rFont val="맑은 고딕"/>
        <family val="2"/>
      </rPr>
      <t>진척작업량</t>
    </r>
    <r>
      <rPr>
        <sz val="9"/>
        <color theme="1"/>
        <rFont val="Calibri"/>
        <family val="2"/>
      </rPr>
      <t>( C )\nMan-day</t>
    </r>
  </si>
  <si>
    <t>Performed workload on planned schedule</t>
  </si>
  <si>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</si>
  <si>
    <t>Performed workload on planned schedule when managing schedule changes(Total Duration x %Work Complete)</t>
  </si>
  <si>
    <r>
      <rPr>
        <sz val="9"/>
        <color theme="1"/>
        <rFont val="맑은 고딕"/>
        <family val="2"/>
      </rPr>
      <t>일정변경관리</t>
    </r>
    <r>
      <rPr>
        <sz val="9"/>
        <color theme="1"/>
        <rFont val="Calibri"/>
        <family val="2"/>
      </rPr>
      <t xml:space="preserve"> </t>
    </r>
    <r>
      <rPr>
        <sz val="9"/>
        <color theme="1"/>
        <rFont val="맑은 고딕"/>
        <family val="2"/>
      </rPr>
      <t>할때</t>
    </r>
    <r>
      <rPr>
        <sz val="9"/>
        <color theme="1"/>
        <rFont val="Calibri"/>
        <family val="2"/>
      </rPr>
      <t xml:space="preserve"> </t>
    </r>
    <r>
      <rPr>
        <sz val="9"/>
        <color theme="1"/>
        <rFont val="맑은 고딕"/>
        <family val="2"/>
      </rPr>
      <t>계획일정대비</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작업량</t>
    </r>
    <r>
      <rPr>
        <sz val="9"/>
        <color theme="1"/>
        <rFont val="Calibri"/>
        <family val="2"/>
      </rPr>
      <t>(</t>
    </r>
    <r>
      <rPr>
        <sz val="9"/>
        <color theme="1"/>
        <rFont val="맑은 고딕"/>
        <family val="2"/>
      </rPr>
      <t>총기간</t>
    </r>
    <r>
      <rPr>
        <sz val="9"/>
        <color theme="1"/>
        <rFont val="Calibri"/>
        <family val="2"/>
      </rPr>
      <t xml:space="preserve"> x </t>
    </r>
    <r>
      <rPr>
        <sz val="9"/>
        <color theme="1"/>
        <rFont val="맑은 고딕"/>
        <family val="2"/>
      </rPr>
      <t>총실적진행율</t>
    </r>
    <r>
      <rPr>
        <sz val="9"/>
        <color theme="1"/>
        <rFont val="Calibri"/>
        <family val="2"/>
      </rPr>
      <t>)</t>
    </r>
  </si>
  <si>
    <t>Pick a Date</t>
  </si>
  <si>
    <r>
      <rPr>
        <sz val="9"/>
        <color theme="1"/>
        <rFont val="맑은 고딕"/>
        <family val="2"/>
      </rPr>
      <t>날짜</t>
    </r>
    <r>
      <rPr>
        <sz val="9"/>
        <color theme="1"/>
        <rFont val="Calibri"/>
        <family val="2"/>
      </rPr>
      <t xml:space="preserve"> </t>
    </r>
    <r>
      <rPr>
        <sz val="9"/>
        <color theme="1"/>
        <rFont val="맑은 고딕"/>
        <family val="2"/>
      </rPr>
      <t>선택</t>
    </r>
  </si>
  <si>
    <t>Plan</t>
    <phoneticPr fontId="2" type="noConversion"/>
  </si>
  <si>
    <t>계획</t>
    <phoneticPr fontId="2" type="noConversion"/>
  </si>
  <si>
    <t>Planned %Work Complete calculation base date</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</si>
  <si>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t>
    </r>
    <phoneticPr fontId="2" type="noConversion"/>
  </si>
  <si>
    <t>Planned %Work Complete from the start date to the current date</t>
  </si>
  <si>
    <r>
      <rPr>
        <sz val="9"/>
        <color theme="1"/>
        <rFont val="맑은 고딕"/>
        <family val="2"/>
      </rPr>
      <t>현재날짜까지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진척율</t>
    </r>
    <r>
      <rPr>
        <sz val="9"/>
        <color theme="1"/>
        <rFont val="Calibri"/>
        <family val="2"/>
      </rPr>
      <t>, WBS</t>
    </r>
    <r>
      <rPr>
        <sz val="9"/>
        <color theme="1"/>
        <rFont val="맑은 고딕"/>
        <family val="2"/>
      </rPr>
      <t>의</t>
    </r>
    <r>
      <rPr>
        <sz val="9"/>
        <color theme="1"/>
        <rFont val="Calibri"/>
        <family val="2"/>
      </rPr>
      <t xml:space="preserve"> "</t>
    </r>
    <r>
      <rPr>
        <sz val="9"/>
        <color theme="1"/>
        <rFont val="맑은 고딕"/>
        <family val="2"/>
      </rPr>
      <t>계획진척율</t>
    </r>
    <r>
      <rPr>
        <sz val="9"/>
        <color theme="1"/>
        <rFont val="Calibri"/>
        <family val="2"/>
      </rPr>
      <t>"</t>
    </r>
    <r>
      <rPr>
        <sz val="9"/>
        <color theme="1"/>
        <rFont val="맑은 고딕"/>
        <family val="2"/>
      </rPr>
      <t>의</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합계</t>
    </r>
    <r>
      <rPr>
        <sz val="9"/>
        <color theme="1"/>
        <rFont val="Calibri"/>
        <family val="2"/>
      </rPr>
      <t xml:space="preserve"> </t>
    </r>
    <r>
      <rPr>
        <sz val="9"/>
        <color theme="1"/>
        <rFont val="맑은 고딕"/>
        <family val="2"/>
      </rPr>
      <t>진척율을</t>
    </r>
    <r>
      <rPr>
        <sz val="9"/>
        <color theme="1"/>
        <rFont val="Calibri"/>
        <family val="2"/>
      </rPr>
      <t xml:space="preserve"> </t>
    </r>
    <r>
      <rPr>
        <sz val="9"/>
        <color theme="1"/>
        <rFont val="맑은 고딕"/>
        <family val="2"/>
      </rPr>
      <t>표시함</t>
    </r>
  </si>
  <si>
    <t>Planned %Work Complete(A)</t>
  </si>
  <si>
    <r>
      <rPr>
        <sz val="9"/>
        <color theme="1"/>
        <rFont val="맑은 고딕"/>
        <family val="2"/>
      </rPr>
      <t>계획</t>
    </r>
    <r>
      <rPr>
        <sz val="9"/>
        <color theme="1"/>
        <rFont val="Calibri"/>
        <family val="2"/>
      </rPr>
      <t xml:space="preserve"> </t>
    </r>
    <r>
      <rPr>
        <sz val="9"/>
        <color theme="1"/>
        <rFont val="맑은 고딕"/>
        <family val="2"/>
      </rPr>
      <t>진척율</t>
    </r>
    <r>
      <rPr>
        <sz val="9"/>
        <color theme="1"/>
        <rFont val="Calibri"/>
        <family val="2"/>
      </rPr>
      <t>(A)</t>
    </r>
  </si>
  <si>
    <t>Planned %Work Complete(B/A)</t>
  </si>
  <si>
    <r>
      <rPr>
        <sz val="9"/>
        <color theme="1"/>
        <rFont val="맑은 고딕"/>
        <family val="2"/>
      </rPr>
      <t>계획</t>
    </r>
    <r>
      <rPr>
        <sz val="9"/>
        <color theme="1"/>
        <rFont val="Calibri"/>
        <family val="2"/>
      </rPr>
      <t>(B/A)</t>
    </r>
  </si>
  <si>
    <t>Planned Progress</t>
  </si>
  <si>
    <r>
      <rPr>
        <sz val="9"/>
        <color theme="1"/>
        <rFont val="맑은 고딕"/>
        <family val="2"/>
      </rPr>
      <t>계획진척율</t>
    </r>
  </si>
  <si>
    <t>Planned Project Progresses by Weeks</t>
  </si>
  <si>
    <r>
      <rPr>
        <sz val="9"/>
        <color theme="1"/>
        <rFont val="맑은 고딕"/>
        <family val="2"/>
      </rPr>
      <t>계획진척율</t>
    </r>
    <r>
      <rPr>
        <sz val="9"/>
        <color theme="1"/>
        <rFont val="Calibri"/>
        <family val="2"/>
      </rPr>
      <t>(</t>
    </r>
    <r>
      <rPr>
        <sz val="9"/>
        <color theme="1"/>
        <rFont val="맑은 고딕"/>
        <family val="2"/>
      </rPr>
      <t>주별</t>
    </r>
    <r>
      <rPr>
        <sz val="9"/>
        <color theme="1"/>
        <rFont val="Calibri"/>
        <family val="2"/>
      </rPr>
      <t>)</t>
    </r>
  </si>
  <si>
    <t>Planned Work(B)\nMan-day</t>
  </si>
  <si>
    <r>
      <rPr>
        <sz val="9"/>
        <color theme="1"/>
        <rFont val="맑은 고딕"/>
        <family val="2"/>
      </rPr>
      <t>계획작업량</t>
    </r>
    <r>
      <rPr>
        <sz val="9"/>
        <color theme="1"/>
        <rFont val="Calibri"/>
        <family val="2"/>
      </rPr>
      <t>(B)\nMan-day</t>
    </r>
  </si>
  <si>
    <t>Planned Work\n(ManDay to Today)</t>
  </si>
  <si>
    <r>
      <rPr>
        <sz val="9"/>
        <color theme="1"/>
        <rFont val="맑은 고딕"/>
        <family val="2"/>
      </rPr>
      <t>계획</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현재일까지</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</si>
  <si>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Planned workload</t>
  </si>
  <si>
    <r>
      <rPr>
        <sz val="9"/>
        <color theme="1"/>
        <rFont val="맑은 고딕"/>
        <family val="2"/>
      </rPr>
      <t>현재일까지</t>
    </r>
    <r>
      <rPr>
        <sz val="9"/>
        <color theme="1"/>
        <rFont val="Calibri"/>
        <family val="2"/>
      </rPr>
      <t xml:space="preserve"> </t>
    </r>
    <r>
      <rPr>
        <sz val="9"/>
        <color theme="1"/>
        <rFont val="맑은 고딕"/>
        <family val="2"/>
      </rPr>
      <t>계획된</t>
    </r>
    <r>
      <rPr>
        <sz val="9"/>
        <color theme="1"/>
        <rFont val="Calibri"/>
        <family val="2"/>
      </rPr>
      <t xml:space="preserve"> </t>
    </r>
    <r>
      <rPr>
        <sz val="9"/>
        <color theme="1"/>
        <rFont val="맑은 고딕"/>
        <family val="2"/>
      </rPr>
      <t>작업량</t>
    </r>
  </si>
  <si>
    <t>Planned workload from the start date to the current date</t>
  </si>
  <si>
    <r>
      <rPr>
        <sz val="9"/>
        <color theme="1"/>
        <rFont val="맑은 고딕"/>
        <family val="2"/>
      </rPr>
      <t>해당작업의</t>
    </r>
    <r>
      <rPr>
        <sz val="9"/>
        <color theme="1"/>
        <rFont val="Calibri"/>
        <family val="2"/>
      </rPr>
      <t xml:space="preserve"> </t>
    </r>
    <r>
      <rPr>
        <sz val="9"/>
        <color theme="1"/>
        <rFont val="맑은 고딕"/>
        <family val="2"/>
      </rPr>
      <t>시작일부터</t>
    </r>
    <r>
      <rPr>
        <sz val="9"/>
        <color theme="1"/>
        <rFont val="Calibri"/>
        <family val="2"/>
      </rPr>
      <t xml:space="preserve"> </t>
    </r>
    <r>
      <rPr>
        <sz val="9"/>
        <color theme="1"/>
        <rFont val="맑은 고딕"/>
        <family val="2"/>
      </rPr>
      <t>현재일까지의</t>
    </r>
    <r>
      <rPr>
        <sz val="9"/>
        <color theme="1"/>
        <rFont val="Calibri"/>
        <family val="2"/>
      </rPr>
      <t xml:space="preserve"> </t>
    </r>
    <r>
      <rPr>
        <sz val="9"/>
        <color theme="1"/>
        <rFont val="맑은 고딕"/>
        <family val="2"/>
      </rPr>
      <t>작업기간을</t>
    </r>
    <r>
      <rPr>
        <sz val="9"/>
        <color theme="1"/>
        <rFont val="Calibri"/>
        <family val="2"/>
      </rPr>
      <t xml:space="preserve"> </t>
    </r>
    <r>
      <rPr>
        <sz val="9"/>
        <color theme="1"/>
        <rFont val="맑은 고딕"/>
        <family val="2"/>
      </rPr>
      <t>의미함</t>
    </r>
    <r>
      <rPr>
        <sz val="9"/>
        <color theme="1"/>
        <rFont val="Calibri"/>
        <family val="2"/>
      </rPr>
      <t>(</t>
    </r>
    <r>
      <rPr>
        <sz val="9"/>
        <color theme="1"/>
        <rFont val="맑은 고딕"/>
        <family val="2"/>
      </rPr>
      <t>현재</t>
    </r>
    <r>
      <rPr>
        <sz val="9"/>
        <color theme="1"/>
        <rFont val="Calibri"/>
        <family val="2"/>
      </rPr>
      <t xml:space="preserve"> </t>
    </r>
    <r>
      <rPr>
        <sz val="9"/>
        <color theme="1"/>
        <rFont val="맑은 고딕"/>
        <family val="2"/>
      </rPr>
      <t>날짜까지</t>
    </r>
    <r>
      <rPr>
        <sz val="9"/>
        <color theme="1"/>
        <rFont val="Calibri"/>
        <family val="2"/>
      </rPr>
      <t xml:space="preserve"> </t>
    </r>
    <r>
      <rPr>
        <sz val="9"/>
        <color theme="1"/>
        <rFont val="맑은 고딕"/>
        <family val="2"/>
      </rPr>
      <t>진행되었어야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기간</t>
    </r>
    <r>
      <rPr>
        <sz val="9"/>
        <color theme="1"/>
        <rFont val="Calibri"/>
        <family val="2"/>
      </rPr>
      <t>)</t>
    </r>
  </si>
  <si>
    <t>Planned__%Work Complete</t>
    <phoneticPr fontId="8" type="noConversion"/>
  </si>
  <si>
    <r>
      <rPr>
        <sz val="9"/>
        <color theme="1"/>
        <rFont val="돋움"/>
        <family val="3"/>
        <charset val="129"/>
      </rPr>
      <t>계획</t>
    </r>
  </si>
  <si>
    <t>Planned__Duration</t>
    <phoneticPr fontId="8" type="noConversion"/>
  </si>
  <si>
    <r>
      <rPr>
        <sz val="9"/>
        <color theme="1"/>
        <rFont val="돋움"/>
        <family val="3"/>
        <charset val="129"/>
      </rPr>
      <t>계획</t>
    </r>
    <r>
      <rPr>
        <sz val="9"/>
        <color theme="1"/>
        <rFont val="Calibri"/>
        <family val="2"/>
      </rPr>
      <t>__</t>
    </r>
    <r>
      <rPr>
        <sz val="9"/>
        <color theme="1"/>
        <rFont val="돋움"/>
        <family val="3"/>
        <charset val="129"/>
      </rPr>
      <t>기간</t>
    </r>
    <phoneticPr fontId="8" type="noConversion"/>
  </si>
  <si>
    <t>Planned__Work</t>
    <phoneticPr fontId="8" type="noConversion"/>
  </si>
  <si>
    <r>
      <rPr>
        <sz val="9"/>
        <color theme="1"/>
        <rFont val="돋움"/>
        <family val="3"/>
        <charset val="129"/>
      </rPr>
      <t>계획</t>
    </r>
    <r>
      <rPr>
        <sz val="9"/>
        <color theme="1"/>
        <rFont val="Calibri"/>
        <family val="2"/>
      </rPr>
      <t>__</t>
    </r>
    <r>
      <rPr>
        <sz val="9"/>
        <color theme="1"/>
        <rFont val="돋움"/>
        <family val="3"/>
        <charset val="129"/>
      </rPr>
      <t>작업량</t>
    </r>
    <phoneticPr fontId="8" type="noConversion"/>
  </si>
  <si>
    <t>Planned\n%Work Complete</t>
  </si>
  <si>
    <r>
      <rPr>
        <sz val="9"/>
        <color theme="1"/>
        <rFont val="맑은 고딕"/>
        <family val="2"/>
      </rPr>
      <t>계획</t>
    </r>
  </si>
  <si>
    <t>Planned\nDuration</t>
  </si>
  <si>
    <r>
      <t>계획</t>
    </r>
    <r>
      <rPr>
        <sz val="10"/>
        <color theme="1"/>
        <rFont val="Calibri"/>
        <family val="2"/>
      </rPr>
      <t>\n</t>
    </r>
    <r>
      <rPr>
        <sz val="10"/>
        <color theme="1"/>
        <rFont val="돋움"/>
        <family val="3"/>
        <charset val="129"/>
      </rPr>
      <t>기간</t>
    </r>
  </si>
  <si>
    <t>Planned\nWork</t>
  </si>
  <si>
    <r>
      <rPr>
        <sz val="9"/>
        <color theme="1"/>
        <rFont val="맑은 고딕"/>
        <family val="2"/>
      </rPr>
      <t>계획</t>
    </r>
    <r>
      <rPr>
        <sz val="9"/>
        <color theme="1"/>
        <rFont val="Calibri"/>
        <family val="2"/>
      </rPr>
      <t>\n</t>
    </r>
    <r>
      <rPr>
        <sz val="9"/>
        <color theme="1"/>
        <rFont val="맑은 고딕"/>
        <family val="2"/>
      </rPr>
      <t>작업량</t>
    </r>
  </si>
  <si>
    <t>Please choose a type of the task field.</t>
  </si>
  <si>
    <r>
      <rPr>
        <sz val="9"/>
        <color theme="1"/>
        <rFont val="맑은 고딕"/>
        <family val="2"/>
      </rPr>
      <t>작업필드의</t>
    </r>
    <r>
      <rPr>
        <sz val="9"/>
        <color theme="1"/>
        <rFont val="Calibri"/>
        <family val="2"/>
      </rPr>
      <t xml:space="preserve"> </t>
    </r>
    <r>
      <rPr>
        <sz val="9"/>
        <color theme="1"/>
        <rFont val="맑은 고딕"/>
        <family val="2"/>
      </rPr>
      <t>유형을</t>
    </r>
    <r>
      <rPr>
        <sz val="9"/>
        <color theme="1"/>
        <rFont val="Calibri"/>
        <family val="2"/>
      </rPr>
      <t xml:space="preserve"> </t>
    </r>
    <r>
      <rPr>
        <sz val="9"/>
        <color theme="1"/>
        <rFont val="맑은 고딕"/>
        <family val="2"/>
      </rPr>
      <t>선택하세요</t>
    </r>
    <r>
      <rPr>
        <sz val="9"/>
        <color theme="1"/>
        <rFont val="Calibri"/>
        <family val="2"/>
      </rPr>
      <t>.</t>
    </r>
  </si>
  <si>
    <t>Please enter the extension.</t>
  </si>
  <si>
    <r>
      <rPr>
        <sz val="9"/>
        <color theme="1"/>
        <rFont val="맑은 고딕"/>
        <family val="2"/>
      </rPr>
      <t>확장자명을</t>
    </r>
    <r>
      <rPr>
        <sz val="9"/>
        <color theme="1"/>
        <rFont val="Calibri"/>
        <family val="2"/>
      </rPr>
      <t xml:space="preserve"> </t>
    </r>
    <r>
      <rPr>
        <sz val="9"/>
        <color theme="1"/>
        <rFont val="맑은 고딕"/>
        <family val="2"/>
      </rPr>
      <t>입력하세요</t>
    </r>
    <r>
      <rPr>
        <sz val="9"/>
        <color theme="1"/>
        <rFont val="Calibri"/>
        <family val="2"/>
      </rPr>
      <t>.</t>
    </r>
  </si>
  <si>
    <t>Please enter the path where deliverables are saved.</t>
  </si>
  <si>
    <r>
      <rPr>
        <sz val="9"/>
        <color theme="1"/>
        <rFont val="맑은 고딕"/>
        <family val="2"/>
      </rPr>
      <t>산출물이</t>
    </r>
    <r>
      <rPr>
        <sz val="9"/>
        <color theme="1"/>
        <rFont val="Calibri"/>
        <family val="2"/>
      </rPr>
      <t xml:space="preserve"> </t>
    </r>
    <r>
      <rPr>
        <sz val="9"/>
        <color theme="1"/>
        <rFont val="맑은 고딕"/>
        <family val="2"/>
      </rPr>
      <t>저장될</t>
    </r>
    <r>
      <rPr>
        <sz val="9"/>
        <color theme="1"/>
        <rFont val="Calibri"/>
        <family val="2"/>
      </rPr>
      <t xml:space="preserve"> </t>
    </r>
    <r>
      <rPr>
        <sz val="9"/>
        <color theme="1"/>
        <rFont val="맑은 고딕"/>
        <family val="2"/>
      </rPr>
      <t>특정경로를</t>
    </r>
    <r>
      <rPr>
        <sz val="9"/>
        <color theme="1"/>
        <rFont val="Calibri"/>
        <family val="2"/>
      </rPr>
      <t xml:space="preserve"> </t>
    </r>
    <r>
      <rPr>
        <sz val="9"/>
        <color theme="1"/>
        <rFont val="맑은 고딕"/>
        <family val="2"/>
      </rPr>
      <t>입력하세요</t>
    </r>
    <r>
      <rPr>
        <sz val="9"/>
        <color theme="1"/>
        <rFont val="Calibri"/>
        <family val="2"/>
      </rPr>
      <t>.</t>
    </r>
  </si>
  <si>
    <t>Please enter the program execution path.</t>
  </si>
  <si>
    <r>
      <rPr>
        <sz val="9"/>
        <color theme="1"/>
        <rFont val="맑은 고딕"/>
        <family val="2"/>
      </rPr>
      <t>프로그램</t>
    </r>
    <r>
      <rPr>
        <sz val="9"/>
        <color theme="1"/>
        <rFont val="Calibri"/>
        <family val="2"/>
      </rPr>
      <t xml:space="preserve"> </t>
    </r>
    <r>
      <rPr>
        <sz val="9"/>
        <color theme="1"/>
        <rFont val="맑은 고딕"/>
        <family val="2"/>
      </rPr>
      <t>실행경로를</t>
    </r>
    <r>
      <rPr>
        <sz val="9"/>
        <color theme="1"/>
        <rFont val="Calibri"/>
        <family val="2"/>
      </rPr>
      <t xml:space="preserve"> </t>
    </r>
    <r>
      <rPr>
        <sz val="9"/>
        <color theme="1"/>
        <rFont val="맑은 고딕"/>
        <family val="2"/>
      </rPr>
      <t>입력하세요</t>
    </r>
    <r>
      <rPr>
        <sz val="9"/>
        <color theme="1"/>
        <rFont val="Calibri"/>
        <family val="2"/>
      </rPr>
      <t>.</t>
    </r>
  </si>
  <si>
    <t>Please set project calendars in this sheet.</t>
  </si>
  <si>
    <r>
      <rPr>
        <sz val="9"/>
        <color theme="1"/>
        <rFont val="맑은 고딕"/>
        <family val="2"/>
      </rPr>
      <t>이</t>
    </r>
    <r>
      <rPr>
        <sz val="9"/>
        <color theme="1"/>
        <rFont val="Calibri"/>
        <family val="2"/>
      </rPr>
      <t xml:space="preserve"> Sheet</t>
    </r>
    <r>
      <rPr>
        <sz val="9"/>
        <color theme="1"/>
        <rFont val="맑은 고딕"/>
        <family val="2"/>
      </rPr>
      <t>에서</t>
    </r>
    <r>
      <rPr>
        <sz val="9"/>
        <color theme="1"/>
        <rFont val="Calibri"/>
        <family val="2"/>
      </rPr>
      <t xml:space="preserve"> </t>
    </r>
    <r>
      <rPr>
        <sz val="9"/>
        <color theme="1"/>
        <rFont val="맑은 고딕"/>
        <family val="2"/>
      </rPr>
      <t>프로젝트</t>
    </r>
    <r>
      <rPr>
        <sz val="9"/>
        <color theme="1"/>
        <rFont val="Calibri"/>
        <family val="2"/>
      </rPr>
      <t xml:space="preserve"> Calendar</t>
    </r>
    <r>
      <rPr>
        <sz val="9"/>
        <color theme="1"/>
        <rFont val="맑은 고딕"/>
        <family val="2"/>
      </rPr>
      <t>를</t>
    </r>
    <r>
      <rPr>
        <sz val="9"/>
        <color theme="1"/>
        <rFont val="Calibri"/>
        <family val="2"/>
      </rPr>
      <t xml:space="preserve"> </t>
    </r>
    <r>
      <rPr>
        <sz val="9"/>
        <color theme="1"/>
        <rFont val="맑은 고딕"/>
        <family val="2"/>
      </rPr>
      <t>설정하세요</t>
    </r>
    <r>
      <rPr>
        <sz val="9"/>
        <color theme="1"/>
        <rFont val="Calibri"/>
        <family val="2"/>
      </rPr>
      <t>.</t>
    </r>
  </si>
  <si>
    <t>Positive - ahead of schedule, Negative - behind schedule</t>
  </si>
  <si>
    <r>
      <rPr>
        <sz val="9"/>
        <color theme="1"/>
        <rFont val="맑은 고딕"/>
        <family val="2"/>
      </rPr>
      <t>양수이면</t>
    </r>
    <r>
      <rPr>
        <sz val="9"/>
        <color theme="1"/>
        <rFont val="Calibri"/>
        <family val="2"/>
      </rPr>
      <t xml:space="preserve"> </t>
    </r>
    <r>
      <rPr>
        <sz val="9"/>
        <color theme="1"/>
        <rFont val="맑은 고딕"/>
        <family val="2"/>
      </rPr>
      <t>계획보다</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t>
    </r>
    <r>
      <rPr>
        <sz val="9"/>
        <color theme="1"/>
        <rFont val="Calibri"/>
        <family val="2"/>
      </rPr>
      <t xml:space="preserve">, </t>
    </r>
    <r>
      <rPr>
        <sz val="9"/>
        <color theme="1"/>
        <rFont val="맑은 고딕"/>
        <family val="2"/>
      </rPr>
      <t>음수이면</t>
    </r>
    <r>
      <rPr>
        <sz val="9"/>
        <color theme="1"/>
        <rFont val="Calibri"/>
        <family val="2"/>
      </rPr>
      <t xml:space="preserve"> </t>
    </r>
    <r>
      <rPr>
        <sz val="9"/>
        <color theme="1"/>
        <rFont val="맑은 고딕"/>
        <family val="2"/>
      </rPr>
      <t>지연</t>
    </r>
  </si>
  <si>
    <t>Powerpoint</t>
  </si>
  <si>
    <r>
      <rPr>
        <sz val="9"/>
        <color theme="1"/>
        <rFont val="맑은 고딕"/>
        <family val="2"/>
      </rPr>
      <t>파워포인트</t>
    </r>
  </si>
  <si>
    <t>Program Info</t>
  </si>
  <si>
    <r>
      <rPr>
        <sz val="9"/>
        <color theme="1"/>
        <rFont val="맑은 고딕"/>
        <family val="2"/>
      </rPr>
      <t>프로그램</t>
    </r>
    <r>
      <rPr>
        <sz val="9"/>
        <color theme="1"/>
        <rFont val="Calibri"/>
        <family val="2"/>
      </rPr>
      <t xml:space="preserve"> </t>
    </r>
    <r>
      <rPr>
        <sz val="9"/>
        <color theme="1"/>
        <rFont val="맑은 고딕"/>
        <family val="2"/>
      </rPr>
      <t>정보</t>
    </r>
  </si>
  <si>
    <t>Program Name</t>
  </si>
  <si>
    <r>
      <rPr>
        <sz val="9"/>
        <color theme="1"/>
        <rFont val="맑은 고딕"/>
        <family val="2"/>
      </rPr>
      <t>프로그램명</t>
    </r>
  </si>
  <si>
    <t>Program Site</t>
  </si>
  <si>
    <r>
      <rPr>
        <sz val="9"/>
        <color theme="1"/>
        <rFont val="맑은 고딕"/>
        <family val="2"/>
      </rPr>
      <t>프로그램</t>
    </r>
    <r>
      <rPr>
        <sz val="9"/>
        <color theme="1"/>
        <rFont val="Calibri"/>
        <family val="2"/>
      </rPr>
      <t xml:space="preserve"> </t>
    </r>
    <r>
      <rPr>
        <sz val="9"/>
        <color theme="1"/>
        <rFont val="맑은 고딕"/>
        <family val="2"/>
      </rPr>
      <t>사이트</t>
    </r>
  </si>
  <si>
    <t>Progress</t>
  </si>
  <si>
    <r>
      <rPr>
        <sz val="9"/>
        <color theme="1"/>
        <rFont val="맑은 고딕"/>
        <family val="2"/>
      </rPr>
      <t>진척율</t>
    </r>
  </si>
  <si>
    <t>Progresses by Resources</t>
  </si>
  <si>
    <r>
      <rPr>
        <sz val="9"/>
        <color theme="1"/>
        <rFont val="맑은 고딕"/>
        <family val="2"/>
      </rPr>
      <t>담당별</t>
    </r>
    <r>
      <rPr>
        <sz val="9"/>
        <color theme="1"/>
        <rFont val="Calibri"/>
        <family val="2"/>
      </rPr>
      <t xml:space="preserve"> </t>
    </r>
    <r>
      <rPr>
        <sz val="9"/>
        <color theme="1"/>
        <rFont val="맑은 고딕"/>
        <family val="2"/>
      </rPr>
      <t>진행율</t>
    </r>
  </si>
  <si>
    <t>Project Execution Plan</t>
  </si>
  <si>
    <r>
      <rPr>
        <sz val="9"/>
        <color theme="1"/>
        <rFont val="맑은 고딕"/>
        <family val="2"/>
      </rPr>
      <t>프로젝트수행계획서</t>
    </r>
  </si>
  <si>
    <t>Project Information</t>
  </si>
  <si>
    <r>
      <rPr>
        <sz val="9"/>
        <color theme="1"/>
        <rFont val="맑은 고딕"/>
        <family val="2"/>
      </rPr>
      <t>프로젝트</t>
    </r>
    <r>
      <rPr>
        <sz val="9"/>
        <color theme="1"/>
        <rFont val="Calibri"/>
        <family val="2"/>
      </rPr>
      <t xml:space="preserve"> </t>
    </r>
    <r>
      <rPr>
        <sz val="9"/>
        <color theme="1"/>
        <rFont val="맑은 고딕"/>
        <family val="2"/>
      </rPr>
      <t>정보</t>
    </r>
  </si>
  <si>
    <t>Project Name</t>
  </si>
  <si>
    <r>
      <rPr>
        <sz val="9"/>
        <color theme="1"/>
        <rFont val="맑은 고딕"/>
        <family val="2"/>
      </rPr>
      <t>프로젝트명</t>
    </r>
  </si>
  <si>
    <t>Project Progress - When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</si>
  <si>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관리할때</t>
    </r>
  </si>
  <si>
    <t>Project Progress - When not managing schedule changes</t>
  </si>
  <si>
    <r>
      <rPr>
        <sz val="9"/>
        <color theme="1"/>
        <rFont val="맑은 고딕"/>
        <family val="2"/>
      </rPr>
      <t>프로젝트</t>
    </r>
    <r>
      <rPr>
        <sz val="9"/>
        <color theme="1"/>
        <rFont val="Calibri"/>
        <family val="2"/>
      </rPr>
      <t xml:space="preserve"> </t>
    </r>
    <r>
      <rPr>
        <sz val="9"/>
        <color theme="1"/>
        <rFont val="맑은 고딕"/>
        <family val="2"/>
      </rPr>
      <t>진행율</t>
    </r>
    <r>
      <rPr>
        <sz val="9"/>
        <color theme="1"/>
        <rFont val="Calibri"/>
        <family val="2"/>
      </rPr>
      <t xml:space="preserve"> - </t>
    </r>
    <r>
      <rPr>
        <sz val="9"/>
        <color theme="1"/>
        <rFont val="맑은 고딕"/>
        <family val="2"/>
      </rPr>
      <t>일정변경</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않을때</t>
    </r>
  </si>
  <si>
    <t>Project Scheduler</t>
  </si>
  <si>
    <t>Reformatting</t>
  </si>
  <si>
    <r>
      <rPr>
        <sz val="9"/>
        <color theme="1"/>
        <rFont val="맑은 고딕"/>
        <family val="2"/>
      </rPr>
      <t>서식재설정</t>
    </r>
  </si>
  <si>
    <t>Regardless of the language setting in computer O/S, you can choose a language directly</t>
  </si>
  <si>
    <r>
      <rPr>
        <sz val="9"/>
        <color theme="1"/>
        <rFont val="맑은 고딕"/>
        <family val="2"/>
      </rPr>
      <t>컴퓨터</t>
    </r>
    <r>
      <rPr>
        <sz val="9"/>
        <color theme="1"/>
        <rFont val="Calibri"/>
        <family val="2"/>
      </rPr>
      <t xml:space="preserve"> O/S</t>
    </r>
    <r>
      <rPr>
        <sz val="9"/>
        <color theme="1"/>
        <rFont val="맑은 고딕"/>
        <family val="2"/>
      </rPr>
      <t>에</t>
    </r>
    <r>
      <rPr>
        <sz val="9"/>
        <color theme="1"/>
        <rFont val="Calibri"/>
        <family val="2"/>
      </rPr>
      <t xml:space="preserve"> </t>
    </r>
    <r>
      <rPr>
        <sz val="9"/>
        <color theme="1"/>
        <rFont val="맑은 고딕"/>
        <family val="2"/>
      </rPr>
      <t>설정된</t>
    </r>
    <r>
      <rPr>
        <sz val="9"/>
        <color theme="1"/>
        <rFont val="Calibri"/>
        <family val="2"/>
      </rPr>
      <t xml:space="preserve"> </t>
    </r>
    <r>
      <rPr>
        <sz val="9"/>
        <color theme="1"/>
        <rFont val="맑은 고딕"/>
        <family val="2"/>
      </rPr>
      <t>언어와</t>
    </r>
    <r>
      <rPr>
        <sz val="9"/>
        <color theme="1"/>
        <rFont val="Calibri"/>
        <family val="2"/>
      </rPr>
      <t xml:space="preserve"> </t>
    </r>
    <r>
      <rPr>
        <sz val="9"/>
        <color theme="1"/>
        <rFont val="맑은 고딕"/>
        <family val="2"/>
      </rPr>
      <t>관계없이</t>
    </r>
    <r>
      <rPr>
        <sz val="9"/>
        <color theme="1"/>
        <rFont val="Calibri"/>
        <family val="2"/>
      </rPr>
      <t xml:space="preserve"> </t>
    </r>
    <r>
      <rPr>
        <sz val="9"/>
        <color theme="1"/>
        <rFont val="맑은 고딕"/>
        <family val="2"/>
      </rPr>
      <t>사용자가</t>
    </r>
    <r>
      <rPr>
        <sz val="9"/>
        <color theme="1"/>
        <rFont val="Calibri"/>
        <family val="2"/>
      </rPr>
      <t xml:space="preserve"> </t>
    </r>
    <r>
      <rPr>
        <sz val="9"/>
        <color theme="1"/>
        <rFont val="맑은 고딕"/>
        <family val="2"/>
      </rPr>
      <t>표시할</t>
    </r>
    <r>
      <rPr>
        <sz val="9"/>
        <color theme="1"/>
        <rFont val="Calibri"/>
        <family val="2"/>
      </rPr>
      <t xml:space="preserve"> </t>
    </r>
    <r>
      <rPr>
        <sz val="9"/>
        <color theme="1"/>
        <rFont val="맑은 고딕"/>
        <family val="2"/>
      </rPr>
      <t>언어를</t>
    </r>
    <r>
      <rPr>
        <sz val="9"/>
        <color theme="1"/>
        <rFont val="Calibri"/>
        <family val="2"/>
      </rPr>
      <t xml:space="preserve"> </t>
    </r>
    <r>
      <rPr>
        <sz val="9"/>
        <color theme="1"/>
        <rFont val="맑은 고딕"/>
        <family val="2"/>
      </rPr>
      <t>직접</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_x000D_
</t>
    </r>
    <r>
      <rPr>
        <sz val="9"/>
        <color theme="1"/>
        <rFont val="맑은 고딕"/>
        <family val="2"/>
      </rPr>
      <t>있습니다</t>
    </r>
    <r>
      <rPr>
        <sz val="9"/>
        <color theme="1"/>
        <rFont val="Calibri"/>
        <family val="2"/>
      </rPr>
      <t>.</t>
    </r>
  </si>
  <si>
    <t>Release Date</t>
  </si>
  <si>
    <r>
      <rPr>
        <sz val="9"/>
        <color theme="1"/>
        <rFont val="맑은 고딕"/>
        <family val="2"/>
      </rPr>
      <t>릴리즈</t>
    </r>
    <r>
      <rPr>
        <sz val="9"/>
        <color theme="1"/>
        <rFont val="Calibri"/>
        <family val="2"/>
      </rPr>
      <t xml:space="preserve"> </t>
    </r>
    <r>
      <rPr>
        <sz val="9"/>
        <color theme="1"/>
        <rFont val="맑은 고딕"/>
        <family val="2"/>
      </rPr>
      <t>일자</t>
    </r>
  </si>
  <si>
    <t>Resource field.</t>
  </si>
  <si>
    <r>
      <rPr>
        <sz val="9"/>
        <color theme="1"/>
        <rFont val="맑은 고딕"/>
        <family val="2"/>
      </rPr>
      <t>자원</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담당자</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등의</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해당</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담당자를</t>
    </r>
    <r>
      <rPr>
        <sz val="9"/>
        <color theme="1"/>
        <rFont val="Calibri"/>
        <family val="2"/>
      </rPr>
      <t xml:space="preserve"> </t>
    </r>
    <r>
      <rPr>
        <sz val="9"/>
        <color theme="1"/>
        <rFont val="맑은 고딕"/>
        <family val="2"/>
      </rPr>
      <t>표시합니다</t>
    </r>
  </si>
  <si>
    <t>Resources</t>
    <phoneticPr fontId="2" type="noConversion"/>
  </si>
  <si>
    <t>담당</t>
    <phoneticPr fontId="2" type="noConversion"/>
  </si>
  <si>
    <t>Right of the chart</t>
  </si>
  <si>
    <r>
      <t xml:space="preserve">Chart </t>
    </r>
    <r>
      <rPr>
        <sz val="9"/>
        <color theme="1"/>
        <rFont val="맑은 고딕"/>
        <family val="2"/>
      </rPr>
      <t>오른쪽</t>
    </r>
  </si>
  <si>
    <t xml:space="preserve">Rows of imported data : </t>
  </si>
  <si>
    <r>
      <rPr>
        <sz val="9"/>
        <color theme="1"/>
        <rFont val="맑은 고딕"/>
        <family val="2"/>
      </rPr>
      <t>가져온</t>
    </r>
    <r>
      <rPr>
        <sz val="9"/>
        <color theme="1"/>
        <rFont val="Calibri"/>
        <family val="2"/>
      </rPr>
      <t xml:space="preserve"> </t>
    </r>
    <r>
      <rPr>
        <sz val="9"/>
        <color theme="1"/>
        <rFont val="맑은 고딕"/>
        <family val="2"/>
      </rPr>
      <t>자료의</t>
    </r>
    <r>
      <rPr>
        <sz val="9"/>
        <color theme="1"/>
        <rFont val="Calibri"/>
        <family val="2"/>
      </rPr>
      <t xml:space="preserve"> </t>
    </r>
    <r>
      <rPr>
        <sz val="9"/>
        <color theme="1"/>
        <rFont val="맑은 고딕"/>
        <family val="2"/>
      </rPr>
      <t>행수</t>
    </r>
    <r>
      <rPr>
        <sz val="9"/>
        <color theme="1"/>
        <rFont val="Calibri"/>
        <family val="2"/>
      </rPr>
      <t xml:space="preserve"> : </t>
    </r>
  </si>
  <si>
    <t>Run "Update Schedule"  When Saving XLGantt File</t>
  </si>
  <si>
    <r>
      <t>File</t>
    </r>
    <r>
      <rPr>
        <sz val="9"/>
        <color theme="1"/>
        <rFont val="맑은 고딕"/>
        <family val="2"/>
      </rPr>
      <t>저장시</t>
    </r>
    <r>
      <rPr>
        <sz val="9"/>
        <color theme="1"/>
        <rFont val="Calibri"/>
        <family val="2"/>
      </rPr>
      <t xml:space="preserve"> WBS Update</t>
    </r>
    <r>
      <rPr>
        <sz val="9"/>
        <color theme="1"/>
        <rFont val="맑은 고딕"/>
        <family val="2"/>
      </rPr>
      <t>실행</t>
    </r>
  </si>
  <si>
    <t>Sat</t>
  </si>
  <si>
    <r>
      <rPr>
        <sz val="9"/>
        <color theme="1"/>
        <rFont val="맑은 고딕"/>
        <family val="2"/>
      </rPr>
      <t>토</t>
    </r>
  </si>
  <si>
    <t>Save</t>
  </si>
  <si>
    <r>
      <rPr>
        <sz val="9"/>
        <color theme="1"/>
        <rFont val="맑은 고딕"/>
        <family val="2"/>
      </rPr>
      <t>저장</t>
    </r>
  </si>
  <si>
    <t>Schedule Change Management</t>
  </si>
  <si>
    <r>
      <rPr>
        <sz val="9"/>
        <color theme="1"/>
        <rFont val="맑은 고딕"/>
        <family val="2"/>
      </rPr>
      <t>일정계획</t>
    </r>
    <r>
      <rPr>
        <sz val="9"/>
        <color theme="1"/>
        <rFont val="Calibri"/>
        <family val="2"/>
      </rPr>
      <t xml:space="preserve"> </t>
    </r>
    <r>
      <rPr>
        <sz val="9"/>
        <color theme="1"/>
        <rFont val="맑은 고딕"/>
        <family val="2"/>
      </rPr>
      <t>변경관리</t>
    </r>
  </si>
  <si>
    <t>Schedule update has been completed.</t>
  </si>
  <si>
    <r>
      <rPr>
        <sz val="9"/>
        <color theme="1"/>
        <rFont val="맑은 고딕"/>
        <family val="2"/>
      </rPr>
      <t>스케줄업데이트</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완료되었습니다</t>
    </r>
    <r>
      <rPr>
        <sz val="9"/>
        <color theme="1"/>
        <rFont val="Calibri"/>
        <family val="2"/>
      </rPr>
      <t>.</t>
    </r>
  </si>
  <si>
    <t>Schedule Variance(B-A)</t>
  </si>
  <si>
    <r>
      <rPr>
        <sz val="9"/>
        <color theme="1"/>
        <rFont val="맑은 고딕"/>
        <family val="2"/>
      </rPr>
      <t>차이</t>
    </r>
    <r>
      <rPr>
        <sz val="9"/>
        <color theme="1"/>
        <rFont val="Calibri"/>
        <family val="2"/>
      </rPr>
      <t>(B-A)</t>
    </r>
  </si>
  <si>
    <t>Search for the tasks based on criteria.</t>
  </si>
  <si>
    <t>Select source files(Muliple Select)</t>
  </si>
  <si>
    <r>
      <rPr>
        <sz val="9"/>
        <color theme="1"/>
        <rFont val="맑은 고딕"/>
        <family val="2"/>
      </rPr>
      <t>가져올</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선택하세요</t>
    </r>
    <r>
      <rPr>
        <sz val="9"/>
        <color theme="1"/>
        <rFont val="Calibri"/>
        <family val="2"/>
      </rPr>
      <t>(</t>
    </r>
    <r>
      <rPr>
        <sz val="9"/>
        <color theme="1"/>
        <rFont val="맑은 고딕"/>
        <family val="2"/>
      </rPr>
      <t>다중선택가능</t>
    </r>
    <r>
      <rPr>
        <sz val="9"/>
        <color theme="1"/>
        <rFont val="Calibri"/>
        <family val="2"/>
      </rPr>
      <t>)</t>
    </r>
  </si>
  <si>
    <t>Set "the earlist start date and the lastest fisnish date of the tasks" to the Project Start-Finish date.</t>
  </si>
  <si>
    <r>
      <t>Task</t>
    </r>
    <r>
      <rPr>
        <sz val="9"/>
        <color theme="1"/>
        <rFont val="맑은 고딕"/>
        <family val="2"/>
      </rPr>
      <t>의</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기간으로</t>
    </r>
    <r>
      <rPr>
        <sz val="9"/>
        <color theme="1"/>
        <rFont val="Calibri"/>
        <family val="2"/>
      </rPr>
      <t xml:space="preserve"> </t>
    </r>
    <r>
      <rPr>
        <sz val="9"/>
        <color theme="1"/>
        <rFont val="맑은 고딕"/>
        <family val="2"/>
      </rPr>
      <t>자동설정</t>
    </r>
  </si>
  <si>
    <t xml:space="preserve">Set path by the task name automatically\n(in this case, specify the upper path of automatically assigned path) </t>
  </si>
  <si>
    <r>
      <rPr>
        <sz val="9"/>
        <color theme="1"/>
        <rFont val="맑은 고딕"/>
        <family val="2"/>
      </rPr>
      <t>작업명으로</t>
    </r>
    <r>
      <rPr>
        <sz val="9"/>
        <color theme="1"/>
        <rFont val="Calibri"/>
        <family val="2"/>
      </rPr>
      <t xml:space="preserve"> </t>
    </r>
    <r>
      <rPr>
        <sz val="9"/>
        <color theme="1"/>
        <rFont val="맑은 고딕"/>
        <family val="2"/>
      </rPr>
      <t>경로</t>
    </r>
    <r>
      <rPr>
        <sz val="9"/>
        <color theme="1"/>
        <rFont val="Calibri"/>
        <family val="2"/>
      </rPr>
      <t xml:space="preserve"> </t>
    </r>
    <r>
      <rPr>
        <sz val="9"/>
        <color theme="1"/>
        <rFont val="맑은 고딕"/>
        <family val="2"/>
      </rPr>
      <t>자동지정</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자동지정된</t>
    </r>
    <r>
      <rPr>
        <sz val="9"/>
        <color theme="1"/>
        <rFont val="Calibri"/>
        <family val="2"/>
      </rPr>
      <t xml:space="preserve"> </t>
    </r>
    <r>
      <rPr>
        <sz val="9"/>
        <color theme="1"/>
        <rFont val="맑은 고딕"/>
        <family val="2"/>
      </rPr>
      <t>경로의</t>
    </r>
    <r>
      <rPr>
        <sz val="9"/>
        <color theme="1"/>
        <rFont val="Calibri"/>
        <family val="2"/>
      </rPr>
      <t xml:space="preserve"> </t>
    </r>
    <r>
      <rPr>
        <sz val="9"/>
        <color theme="1"/>
        <rFont val="맑은 고딕"/>
        <family val="2"/>
      </rPr>
      <t>상위경로를</t>
    </r>
    <r>
      <rPr>
        <sz val="9"/>
        <color theme="1"/>
        <rFont val="Calibri"/>
        <family val="2"/>
      </rPr>
      <t xml:space="preserve"> </t>
    </r>
    <r>
      <rPr>
        <sz val="9"/>
        <color theme="1"/>
        <rFont val="맑은 고딕"/>
        <family val="2"/>
      </rPr>
      <t>입력</t>
    </r>
    <r>
      <rPr>
        <sz val="9"/>
        <color theme="1"/>
        <rFont val="Calibri"/>
        <family val="2"/>
      </rPr>
      <t xml:space="preserve">) </t>
    </r>
  </si>
  <si>
    <t>Set program execution paths to open deliverables</t>
  </si>
  <si>
    <r>
      <rPr>
        <sz val="9"/>
        <color theme="1"/>
        <rFont val="맑은 고딕"/>
        <family val="2"/>
      </rPr>
      <t>산출물열기</t>
    </r>
    <r>
      <rPr>
        <sz val="9"/>
        <color theme="1"/>
        <rFont val="Calibri"/>
        <family val="2"/>
      </rPr>
      <t xml:space="preserve"> </t>
    </r>
    <r>
      <rPr>
        <sz val="9"/>
        <color theme="1"/>
        <rFont val="맑은 고딕"/>
        <family val="2"/>
      </rPr>
      <t>프로그램</t>
    </r>
    <r>
      <rPr>
        <sz val="9"/>
        <color theme="1"/>
        <rFont val="Calibri"/>
        <family val="2"/>
      </rPr>
      <t xml:space="preserve"> </t>
    </r>
    <r>
      <rPr>
        <sz val="9"/>
        <color theme="1"/>
        <rFont val="맑은 고딕"/>
        <family val="2"/>
      </rPr>
      <t>실행경로</t>
    </r>
    <r>
      <rPr>
        <sz val="9"/>
        <color theme="1"/>
        <rFont val="Calibri"/>
        <family val="2"/>
      </rPr>
      <t xml:space="preserve"> </t>
    </r>
    <r>
      <rPr>
        <sz val="9"/>
        <color theme="1"/>
        <rFont val="맑은 고딕"/>
        <family val="2"/>
      </rPr>
      <t>지정</t>
    </r>
  </si>
  <si>
    <t>Set saving path of deliverables</t>
  </si>
  <si>
    <r>
      <rPr>
        <sz val="9"/>
        <color theme="1"/>
        <rFont val="맑은 고딕"/>
        <family val="2"/>
      </rPr>
      <t>산출물</t>
    </r>
    <r>
      <rPr>
        <sz val="9"/>
        <color theme="1"/>
        <rFont val="Calibri"/>
        <family val="2"/>
      </rPr>
      <t xml:space="preserve"> </t>
    </r>
    <r>
      <rPr>
        <sz val="9"/>
        <color theme="1"/>
        <rFont val="맑은 고딕"/>
        <family val="2"/>
      </rPr>
      <t>저장경로</t>
    </r>
  </si>
  <si>
    <t>Settings</t>
  </si>
  <si>
    <r>
      <rPr>
        <sz val="9"/>
        <color theme="1"/>
        <rFont val="맑은 고딕"/>
        <family val="2"/>
      </rPr>
      <t>설정</t>
    </r>
  </si>
  <si>
    <t>Specific Date</t>
  </si>
  <si>
    <r>
      <rPr>
        <sz val="9"/>
        <color theme="1"/>
        <rFont val="맑은 고딕"/>
        <family val="2"/>
      </rPr>
      <t>특정날짜</t>
    </r>
  </si>
  <si>
    <t>Specific path</t>
  </si>
  <si>
    <r>
      <rPr>
        <sz val="9"/>
        <color theme="1"/>
        <rFont val="맑은 고딕"/>
        <family val="2"/>
      </rPr>
      <t>특정</t>
    </r>
    <r>
      <rPr>
        <sz val="9"/>
        <color theme="1"/>
        <rFont val="Calibri"/>
        <family val="2"/>
      </rPr>
      <t xml:space="preserve"> </t>
    </r>
    <r>
      <rPr>
        <sz val="9"/>
        <color theme="1"/>
        <rFont val="맑은 고딕"/>
        <family val="2"/>
      </rPr>
      <t>경로</t>
    </r>
  </si>
  <si>
    <t>Standard Calendar</t>
  </si>
  <si>
    <r>
      <rPr>
        <sz val="9"/>
        <color theme="1"/>
        <rFont val="맑은 고딕"/>
        <family val="2"/>
      </rPr>
      <t>표준캘린더</t>
    </r>
  </si>
  <si>
    <t>Star(*) marks-required fields, orange columns-automatically calculated</t>
  </si>
  <si>
    <r>
      <rPr>
        <sz val="9"/>
        <color theme="1"/>
        <rFont val="맑은 고딕"/>
        <family val="2"/>
      </rPr>
      <t>별</t>
    </r>
    <r>
      <rPr>
        <sz val="9"/>
        <color theme="1"/>
        <rFont val="Calibri"/>
        <family val="2"/>
      </rPr>
      <t>(*)</t>
    </r>
    <r>
      <rPr>
        <sz val="9"/>
        <color theme="1"/>
        <rFont val="맑은 고딕"/>
        <family val="2"/>
      </rPr>
      <t>표시는</t>
    </r>
    <r>
      <rPr>
        <sz val="9"/>
        <color theme="1"/>
        <rFont val="Calibri"/>
        <family val="2"/>
      </rPr>
      <t xml:space="preserve"> </t>
    </r>
    <r>
      <rPr>
        <sz val="9"/>
        <color theme="1"/>
        <rFont val="맑은 고딕"/>
        <family val="2"/>
      </rPr>
      <t>필수입력</t>
    </r>
    <r>
      <rPr>
        <sz val="9"/>
        <color theme="1"/>
        <rFont val="Calibri"/>
        <family val="2"/>
      </rPr>
      <t xml:space="preserve">, </t>
    </r>
    <r>
      <rPr>
        <sz val="9"/>
        <color theme="1"/>
        <rFont val="맑은 고딕"/>
        <family val="2"/>
      </rPr>
      <t>주황색열은</t>
    </r>
    <r>
      <rPr>
        <sz val="9"/>
        <color theme="1"/>
        <rFont val="Calibri"/>
        <family val="2"/>
      </rPr>
      <t xml:space="preserve"> </t>
    </r>
    <r>
      <rPr>
        <sz val="9"/>
        <color theme="1"/>
        <rFont val="맑은 고딕"/>
        <family val="2"/>
      </rPr>
      <t>자동계산</t>
    </r>
  </si>
  <si>
    <t>Start</t>
  </si>
  <si>
    <r>
      <rPr>
        <sz val="9"/>
        <color theme="1"/>
        <rFont val="맑은 고딕"/>
        <family val="2"/>
      </rPr>
      <t>시작일</t>
    </r>
  </si>
  <si>
    <t>Start Date</t>
  </si>
  <si>
    <r>
      <rPr>
        <sz val="9"/>
        <color theme="1"/>
        <rFont val="맑은 고딕"/>
        <family val="2"/>
      </rPr>
      <t>시작일자</t>
    </r>
  </si>
  <si>
    <t>Start date field of a task. It must be in date format.</t>
  </si>
  <si>
    <r>
      <rPr>
        <sz val="9"/>
        <color theme="1"/>
        <rFont val="맑은 고딕"/>
        <family val="2"/>
      </rPr>
      <t>각</t>
    </r>
    <r>
      <rPr>
        <sz val="9"/>
        <color theme="1"/>
        <rFont val="Calibri"/>
        <family val="2"/>
      </rPr>
      <t xml:space="preserve"> </t>
    </r>
    <r>
      <rPr>
        <sz val="9"/>
        <color theme="1"/>
        <rFont val="맑은 고딕"/>
        <family val="2"/>
      </rPr>
      <t>작업의</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표시합니다</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날짜</t>
    </r>
    <r>
      <rPr>
        <sz val="9"/>
        <color theme="1"/>
        <rFont val="Calibri"/>
        <family val="2"/>
      </rPr>
      <t xml:space="preserve"> </t>
    </r>
    <r>
      <rPr>
        <sz val="9"/>
        <color theme="1"/>
        <rFont val="맑은 고딕"/>
        <family val="2"/>
      </rPr>
      <t>형식이어야</t>
    </r>
    <r>
      <rPr>
        <sz val="9"/>
        <color theme="1"/>
        <rFont val="Calibri"/>
        <family val="2"/>
      </rPr>
      <t xml:space="preserve"> </t>
    </r>
    <r>
      <rPr>
        <sz val="9"/>
        <color theme="1"/>
        <rFont val="맑은 고딕"/>
        <family val="2"/>
      </rPr>
      <t>합니다</t>
    </r>
    <r>
      <rPr>
        <sz val="9"/>
        <color theme="1"/>
        <rFont val="Calibri"/>
        <family val="2"/>
      </rPr>
      <t>.</t>
    </r>
  </si>
  <si>
    <t>Start date is invalid.</t>
  </si>
  <si>
    <r>
      <rPr>
        <sz val="9"/>
        <color theme="1"/>
        <rFont val="맑은 고딕"/>
        <family val="2"/>
      </rPr>
      <t>작업시작일의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</si>
  <si>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Start date is invalid. Verify row {} of the source file.</t>
  </si>
  <si>
    <r>
      <rPr>
        <sz val="9"/>
        <color theme="1"/>
        <rFont val="맑은 고딕"/>
        <family val="2"/>
      </rPr>
      <t>시작일자에</t>
    </r>
    <r>
      <rPr>
        <sz val="9"/>
        <color theme="1"/>
        <rFont val="Calibri"/>
        <family val="2"/>
      </rPr>
      <t xml:space="preserve"> </t>
    </r>
    <r>
      <rPr>
        <sz val="9"/>
        <color theme="1"/>
        <rFont val="맑은 고딕"/>
        <family val="2"/>
      </rPr>
      <t>날짜가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</si>
  <si>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Start-Finish</t>
  </si>
  <si>
    <r>
      <rPr>
        <sz val="9"/>
        <color theme="1"/>
        <rFont val="맑은 고딕"/>
        <family val="2"/>
      </rPr>
      <t>시작일</t>
    </r>
    <r>
      <rPr>
        <sz val="9"/>
        <color theme="1"/>
        <rFont val="Calibri"/>
        <family val="2"/>
      </rPr>
      <t>-</t>
    </r>
    <r>
      <rPr>
        <sz val="9"/>
        <color theme="1"/>
        <rFont val="맑은 고딕"/>
        <family val="2"/>
      </rPr>
      <t>완료일</t>
    </r>
  </si>
  <si>
    <t>Sun</t>
  </si>
  <si>
    <r>
      <rPr>
        <sz val="9"/>
        <color theme="1"/>
        <rFont val="맑은 고딕"/>
        <family val="2"/>
      </rPr>
      <t>일</t>
    </r>
  </si>
  <si>
    <t>Task</t>
  </si>
  <si>
    <r>
      <rPr>
        <sz val="9"/>
        <color theme="1"/>
        <rFont val="맑은 고딕"/>
        <family val="2"/>
      </rPr>
      <t>작업</t>
    </r>
    <phoneticPr fontId="2" type="noConversion"/>
  </si>
  <si>
    <t>Task area was not selected. Please select a task area.</t>
  </si>
  <si>
    <r>
      <rPr>
        <sz val="9"/>
        <color theme="1"/>
        <rFont val="맑은 고딕"/>
        <family val="2"/>
      </rPr>
      <t>작업영역이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 xml:space="preserve">. </t>
    </r>
    <r>
      <rPr>
        <sz val="9"/>
        <color theme="1"/>
        <rFont val="맑은 고딕"/>
        <family val="2"/>
      </rPr>
      <t>영역을</t>
    </r>
    <r>
      <rPr>
        <sz val="9"/>
        <color theme="1"/>
        <rFont val="Calibri"/>
        <family val="2"/>
      </rPr>
      <t xml:space="preserve"> </t>
    </r>
    <r>
      <rPr>
        <sz val="9"/>
        <color theme="1"/>
        <rFont val="맑은 고딕"/>
        <family val="2"/>
      </rPr>
      <t>선택하세요</t>
    </r>
    <r>
      <rPr>
        <sz val="9"/>
        <color theme="1"/>
        <rFont val="Calibri"/>
        <family val="2"/>
      </rPr>
      <t>.</t>
    </r>
  </si>
  <si>
    <t>Task Name</t>
  </si>
  <si>
    <r>
      <rPr>
        <sz val="9"/>
        <color theme="1"/>
        <rFont val="맑은 고딕"/>
        <family val="2"/>
      </rPr>
      <t>작업명</t>
    </r>
  </si>
  <si>
    <t>Task name field.It's also referred to as "Work" or "Activity" or etc.</t>
  </si>
  <si>
    <r>
      <rPr>
        <sz val="9"/>
        <color theme="1"/>
        <rFont val="맑은 고딕"/>
        <family val="2"/>
      </rPr>
      <t>작업명</t>
    </r>
    <r>
      <rPr>
        <sz val="9"/>
        <color theme="1"/>
        <rFont val="Calibri"/>
        <family val="2"/>
      </rPr>
      <t xml:space="preserve"> </t>
    </r>
    <r>
      <rPr>
        <sz val="9"/>
        <color theme="1"/>
        <rFont val="맑은 고딕"/>
        <family val="2"/>
      </rPr>
      <t>필드입니다</t>
    </r>
    <r>
      <rPr>
        <sz val="9"/>
        <color theme="1"/>
        <rFont val="Calibri"/>
        <family val="2"/>
      </rPr>
      <t xml:space="preserve">. </t>
    </r>
    <r>
      <rPr>
        <sz val="9"/>
        <color theme="1"/>
        <rFont val="맑은 고딕"/>
        <family val="2"/>
      </rPr>
      <t>이름</t>
    </r>
    <r>
      <rPr>
        <sz val="9"/>
        <color theme="1"/>
        <rFont val="Calibri"/>
        <family val="2"/>
      </rPr>
      <t>, Task, Activity</t>
    </r>
    <r>
      <rPr>
        <sz val="9"/>
        <color theme="1"/>
        <rFont val="맑은 고딕"/>
        <family val="2"/>
      </rPr>
      <t>등</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이름으로</t>
    </r>
    <r>
      <rPr>
        <sz val="9"/>
        <color theme="1"/>
        <rFont val="Calibri"/>
        <family val="2"/>
      </rPr>
      <t xml:space="preserve"> </t>
    </r>
    <r>
      <rPr>
        <sz val="9"/>
        <color theme="1"/>
        <rFont val="맑은 고딕"/>
        <family val="2"/>
      </rPr>
      <t>불리기도</t>
    </r>
    <r>
      <rPr>
        <sz val="9"/>
        <color theme="1"/>
        <rFont val="Calibri"/>
        <family val="2"/>
      </rPr>
      <t xml:space="preserve"> </t>
    </r>
    <r>
      <rPr>
        <sz val="9"/>
        <color theme="1"/>
        <rFont val="맑은 고딕"/>
        <family val="2"/>
      </rPr>
      <t>합니다</t>
    </r>
    <r>
      <rPr>
        <sz val="9"/>
        <color theme="1"/>
        <rFont val="Calibri"/>
        <family val="2"/>
      </rPr>
      <t xml:space="preserve">. </t>
    </r>
    <r>
      <rPr>
        <sz val="9"/>
        <color theme="1"/>
        <rFont val="맑은 고딕"/>
        <family val="2"/>
      </rPr>
      <t>작업의</t>
    </r>
    <r>
      <rPr>
        <sz val="9"/>
        <color theme="1"/>
        <rFont val="Calibri"/>
        <family val="2"/>
      </rPr>
      <t xml:space="preserve"> Level</t>
    </r>
    <r>
      <rPr>
        <sz val="9"/>
        <color theme="1"/>
        <rFont val="맑은 고딕"/>
        <family val="2"/>
      </rPr>
      <t>에</t>
    </r>
    <r>
      <rPr>
        <sz val="9"/>
        <color theme="1"/>
        <rFont val="Calibri"/>
        <family val="2"/>
      </rPr>
      <t xml:space="preserve"> </t>
    </r>
    <r>
      <rPr>
        <sz val="9"/>
        <color theme="1"/>
        <rFont val="맑은 고딕"/>
        <family val="2"/>
      </rPr>
      <t>따라</t>
    </r>
    <r>
      <rPr>
        <sz val="9"/>
        <color theme="1"/>
        <rFont val="Calibri"/>
        <family val="2"/>
      </rPr>
      <t xml:space="preserve"> </t>
    </r>
    <r>
      <rPr>
        <sz val="9"/>
        <color theme="1"/>
        <rFont val="맑은 고딕"/>
        <family val="2"/>
      </rPr>
      <t>표시하는</t>
    </r>
    <r>
      <rPr>
        <sz val="9"/>
        <color theme="1"/>
        <rFont val="Calibri"/>
        <family val="2"/>
      </rPr>
      <t xml:space="preserve"> </t>
    </r>
    <r>
      <rPr>
        <sz val="9"/>
        <color theme="1"/>
        <rFont val="맑은 고딕"/>
        <family val="2"/>
      </rPr>
      <t>방식이</t>
    </r>
    <r>
      <rPr>
        <sz val="9"/>
        <color theme="1"/>
        <rFont val="Calibri"/>
        <family val="2"/>
      </rPr>
      <t xml:space="preserve"> </t>
    </r>
    <r>
      <rPr>
        <sz val="9"/>
        <color theme="1"/>
        <rFont val="맑은 고딕"/>
        <family val="2"/>
      </rPr>
      <t>다를</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Level</t>
    </r>
    <r>
      <rPr>
        <sz val="9"/>
        <color theme="1"/>
        <rFont val="맑은 고딕"/>
        <family val="2"/>
      </rPr>
      <t>별로</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표시되는</t>
    </r>
    <r>
      <rPr>
        <sz val="9"/>
        <color theme="1"/>
        <rFont val="Calibri"/>
        <family val="2"/>
      </rPr>
      <t xml:space="preserve"> </t>
    </r>
    <r>
      <rPr>
        <sz val="9"/>
        <color theme="1"/>
        <rFont val="맑은 고딕"/>
        <family val="2"/>
      </rPr>
      <t>경우에는</t>
    </r>
    <r>
      <rPr>
        <sz val="9"/>
        <color theme="1"/>
        <rFont val="Calibri"/>
        <family val="2"/>
      </rPr>
      <t xml:space="preserve"> 1 Level </t>
    </r>
    <r>
      <rPr>
        <sz val="9"/>
        <color theme="1"/>
        <rFont val="맑은 고딕"/>
        <family val="2"/>
      </rPr>
      <t>필드만</t>
    </r>
    <r>
      <rPr>
        <sz val="9"/>
        <color theme="1"/>
        <rFont val="Calibri"/>
        <family val="2"/>
      </rPr>
      <t xml:space="preserve"> Traget</t>
    </r>
    <r>
      <rPr>
        <sz val="9"/>
        <color theme="1"/>
        <rFont val="맑은 고딕"/>
        <family val="2"/>
      </rPr>
      <t>파일의</t>
    </r>
    <r>
      <rPr>
        <sz val="9"/>
        <color theme="1"/>
        <rFont val="Calibri"/>
        <family val="2"/>
      </rPr>
      <t xml:space="preserve"> "</t>
    </r>
    <r>
      <rPr>
        <sz val="9"/>
        <color theme="1"/>
        <rFont val="맑은 고딕"/>
        <family val="2"/>
      </rPr>
      <t>작업명</t>
    </r>
    <r>
      <rPr>
        <sz val="9"/>
        <color theme="1"/>
        <rFont val="Calibri"/>
        <family val="2"/>
      </rPr>
      <t>"</t>
    </r>
    <r>
      <rPr>
        <sz val="9"/>
        <color theme="1"/>
        <rFont val="맑은 고딕"/>
        <family val="2"/>
      </rPr>
      <t>필드와</t>
    </r>
    <r>
      <rPr>
        <sz val="9"/>
        <color theme="1"/>
        <rFont val="Calibri"/>
        <family val="2"/>
      </rPr>
      <t xml:space="preserve"> Mapping</t>
    </r>
    <r>
      <rPr>
        <sz val="9"/>
        <color theme="1"/>
        <rFont val="맑은 고딕"/>
        <family val="2"/>
      </rPr>
      <t>하면</t>
    </r>
    <r>
      <rPr>
        <sz val="9"/>
        <color theme="1"/>
        <rFont val="Calibri"/>
        <family val="2"/>
      </rPr>
      <t xml:space="preserve"> </t>
    </r>
    <r>
      <rPr>
        <sz val="9"/>
        <color theme="1"/>
        <rFont val="맑은 고딕"/>
        <family val="2"/>
      </rPr>
      <t>됩니다</t>
    </r>
    <r>
      <rPr>
        <sz val="9"/>
        <color theme="1"/>
        <rFont val="Calibri"/>
        <family val="2"/>
      </rPr>
      <t>.</t>
    </r>
  </si>
  <si>
    <t>Task(Task name or Name) is missing.</t>
  </si>
  <si>
    <r>
      <t>Task(</t>
    </r>
    <r>
      <rPr>
        <sz val="9"/>
        <color theme="1"/>
        <rFont val="맑은 고딕"/>
        <family val="2"/>
      </rPr>
      <t>작업명</t>
    </r>
    <r>
      <rPr>
        <sz val="9"/>
        <color theme="1"/>
        <rFont val="Calibri"/>
        <family val="2"/>
      </rPr>
      <t xml:space="preserve">, </t>
    </r>
    <r>
      <rPr>
        <sz val="9"/>
        <color theme="1"/>
        <rFont val="맑은 고딕"/>
        <family val="2"/>
      </rPr>
      <t>이름</t>
    </r>
    <r>
      <rPr>
        <sz val="9"/>
        <color theme="1"/>
        <rFont val="Calibri"/>
        <family val="2"/>
      </rPr>
      <t xml:space="preserve"> </t>
    </r>
    <r>
      <rPr>
        <sz val="9"/>
        <color theme="1"/>
        <rFont val="맑은 고딕"/>
        <family val="2"/>
      </rPr>
      <t>등</t>
    </r>
    <r>
      <rPr>
        <sz val="9"/>
        <color theme="1"/>
        <rFont val="Calibri"/>
        <family val="2"/>
      </rPr>
      <t>)</t>
    </r>
    <r>
      <rPr>
        <sz val="9"/>
        <color theme="1"/>
        <rFont val="맑은 고딕"/>
        <family val="2"/>
      </rPr>
      <t>는</t>
    </r>
    <r>
      <rPr>
        <sz val="9"/>
        <color theme="1"/>
        <rFont val="Calibri"/>
        <family val="2"/>
      </rPr>
      <t xml:space="preserve"> </t>
    </r>
    <r>
      <rPr>
        <sz val="9"/>
        <color theme="1"/>
        <rFont val="맑은 고딕"/>
        <family val="2"/>
      </rPr>
      <t>반드시</t>
    </r>
    <r>
      <rPr>
        <sz val="9"/>
        <color theme="1"/>
        <rFont val="Calibri"/>
        <family val="2"/>
      </rPr>
      <t xml:space="preserve"> </t>
    </r>
    <r>
      <rPr>
        <sz val="9"/>
        <color theme="1"/>
        <rFont val="맑은 고딕"/>
        <family val="2"/>
      </rPr>
      <t>입력되어야</t>
    </r>
    <r>
      <rPr>
        <sz val="9"/>
        <color theme="1"/>
        <rFont val="Calibri"/>
        <family val="2"/>
      </rPr>
      <t xml:space="preserve"> </t>
    </r>
    <r>
      <rPr>
        <sz val="9"/>
        <color theme="1"/>
        <rFont val="맑은 고딕"/>
        <family val="2"/>
      </rPr>
      <t>합니다</t>
    </r>
    <r>
      <rPr>
        <sz val="9"/>
        <color theme="1"/>
        <rFont val="Calibri"/>
        <family val="2"/>
      </rPr>
      <t>.</t>
    </r>
  </si>
  <si>
    <t>The "%Work Complete" column has been deleted. Please retry after changing the sheet to its previous state.</t>
  </si>
  <si>
    <r>
      <rPr>
        <sz val="9"/>
        <color theme="1"/>
        <rFont val="맑은 고딕"/>
        <family val="2"/>
      </rPr>
      <t>실적진척율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</si>
  <si>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"%Work Complete"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</si>
  <si>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실적진척율이</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</si>
  <si>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 "Actual Finish Date" column has been deleted. Please retry after changing the sheet to its previous state.</t>
  </si>
  <si>
    <r>
      <rPr>
        <sz val="9"/>
        <color theme="1"/>
        <rFont val="맑은 고딕"/>
        <family val="2"/>
      </rPr>
      <t>실제완료일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</si>
  <si>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Start Date" column has been deleted. Please retry after changing the sheet to its previous state.</t>
  </si>
  <si>
    <r>
      <rPr>
        <sz val="9"/>
        <color theme="1"/>
        <rFont val="맑은 고딕"/>
        <family val="2"/>
      </rPr>
      <t>실제시작일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</si>
  <si>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Duration" column has been deleted. Please retry after changing the sheet to its previous state.</t>
  </si>
  <si>
    <r>
      <rPr>
        <sz val="9"/>
        <color theme="1"/>
        <rFont val="맑은 고딕"/>
        <family val="2"/>
      </rPr>
      <t>실제총기간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</si>
  <si>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"Actual Total Work" column has been deleted. Please retry after changing the sheet to its previous state.</t>
  </si>
  <si>
    <r>
      <rPr>
        <sz val="9"/>
        <color theme="1"/>
        <rFont val="맑은 고딕"/>
        <family val="2"/>
      </rPr>
      <t>실제총작업량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</si>
  <si>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"Calendar" column has been deleted. Please retry after changing the sheet to its previous state.</t>
  </si>
  <si>
    <r>
      <t xml:space="preserve">Calendar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</si>
  <si>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"Deliverables" column has been deleted. Please retry after changing the sheet to its previous state.</t>
  </si>
  <si>
    <r>
      <rPr>
        <sz val="9"/>
        <color theme="1"/>
        <rFont val="맑은 고딕"/>
        <family val="2"/>
      </rPr>
      <t>산출물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</si>
  <si>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"Finish Date" column has been deleted. Please retry after changing the sheet to its previous state.</t>
  </si>
  <si>
    <r>
      <rPr>
        <sz val="9"/>
        <color theme="1"/>
        <rFont val="맑은 고딕"/>
        <family val="2"/>
      </rPr>
      <t>완료일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</si>
  <si>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"Note" column has been deleted. Please retry after changing the sheet to its previous state.</t>
  </si>
  <si>
    <r>
      <rPr>
        <sz val="9"/>
        <color theme="1"/>
        <rFont val="맑은 고딕"/>
        <family val="2"/>
      </rPr>
      <t>비고</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</si>
  <si>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Complete" column has been deleted. Please retry after changing the sheet to its previous state.</t>
  </si>
  <si>
    <r>
      <rPr>
        <sz val="9"/>
        <color theme="1"/>
        <rFont val="맑은 고딕"/>
        <family val="2"/>
      </rPr>
      <t>계획진척율</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</si>
  <si>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Duration" column has been deleted. Please retry after changing the sheet to its previous state.</t>
  </si>
  <si>
    <r>
      <rPr>
        <sz val="9"/>
        <color theme="1"/>
        <rFont val="맑은 고딕"/>
        <family val="2"/>
      </rPr>
      <t>계획기간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</si>
  <si>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"Planned Work" column has been deleted. Please retry after changing the sheet to its previous state.</t>
  </si>
  <si>
    <r>
      <rPr>
        <sz val="9"/>
        <color theme="1"/>
        <rFont val="맑은 고딕"/>
        <family val="2"/>
      </rPr>
      <t>계획작업량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</si>
  <si>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"Resources" column has been deleted. Please retry after changing the sheet to its previous state.</t>
  </si>
  <si>
    <r>
      <rPr>
        <sz val="9"/>
        <color theme="1"/>
        <rFont val="맑은 고딕"/>
        <family val="2"/>
      </rPr>
      <t>담당</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</si>
  <si>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"Start Date" column has been deleted. Please retry after changing the sheet to its previous state.</t>
  </si>
  <si>
    <r>
      <rPr>
        <sz val="9"/>
        <color theme="1"/>
        <rFont val="맑은 고딕"/>
        <family val="2"/>
      </rPr>
      <t>시작일</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</si>
  <si>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"Task" column has been deleted. Please retry after changing the sheet to its previous state.</t>
  </si>
  <si>
    <r>
      <rPr>
        <sz val="9"/>
        <color theme="1"/>
        <rFont val="맑은 고딕"/>
        <family val="2"/>
      </rPr>
      <t>작업</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</si>
  <si>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Duration" column has been deleted. Please retry after changing the sheet to its previous state.</t>
  </si>
  <si>
    <r>
      <rPr>
        <sz val="9"/>
        <color theme="1"/>
        <rFont val="맑은 고딕"/>
        <family val="2"/>
      </rPr>
      <t>총기간</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</si>
  <si>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"Total Work" column has been deleted. Please retry after changing the sheet to its previous state.</t>
  </si>
  <si>
    <r>
      <rPr>
        <sz val="9"/>
        <color theme="1"/>
        <rFont val="맑은 고딕"/>
        <family val="2"/>
      </rPr>
      <t>총작업량</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</si>
  <si>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Level" column has been deleted. Please retry after changing the sheet to its previous state.</t>
  </si>
  <si>
    <r>
      <t xml:space="preserve">WBS Level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</si>
  <si>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"WBS" column has been deleted. Please retry after changing the sheet to its previous state.</t>
  </si>
  <si>
    <r>
      <t xml:space="preserve">WBS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</si>
  <si>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"Weight" column has been deleted. Please retry after changing the sheet to its previous state.</t>
  </si>
  <si>
    <r>
      <rPr>
        <sz val="9"/>
        <color theme="1"/>
        <rFont val="맑은 고딕"/>
        <family val="2"/>
      </rPr>
      <t>가중치</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</si>
  <si>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 sheet does not exist. Please check that you changed or deleted the sheet.</t>
  </si>
  <si>
    <r>
      <t>{} sheet</t>
    </r>
    <r>
      <rPr>
        <sz val="9"/>
        <color theme="1"/>
        <rFont val="맑은 고딕"/>
        <family val="2"/>
      </rPr>
      <t>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이름을</t>
    </r>
    <r>
      <rPr>
        <sz val="9"/>
        <color theme="1"/>
        <rFont val="Calibri"/>
        <family val="2"/>
      </rPr>
      <t xml:space="preserve"> </t>
    </r>
    <r>
      <rPr>
        <sz val="9"/>
        <color theme="1"/>
        <rFont val="맑은 고딕"/>
        <family val="2"/>
      </rPr>
      <t>변경하거나</t>
    </r>
    <r>
      <rPr>
        <sz val="9"/>
        <color theme="1"/>
        <rFont val="Calibri"/>
        <family val="2"/>
      </rPr>
      <t xml:space="preserve"> </t>
    </r>
    <r>
      <rPr>
        <sz val="9"/>
        <color theme="1"/>
        <rFont val="맑은 고딕"/>
        <family val="2"/>
      </rPr>
      <t>삭제했는지</t>
    </r>
    <r>
      <rPr>
        <sz val="9"/>
        <color theme="1"/>
        <rFont val="Calibri"/>
        <family val="2"/>
      </rPr>
      <t xml:space="preserve"> </t>
    </r>
    <r>
      <rPr>
        <sz val="9"/>
        <color theme="1"/>
        <rFont val="맑은 고딕"/>
        <family val="2"/>
      </rPr>
      <t>확인하세요</t>
    </r>
    <r>
      <rPr>
        <sz val="9"/>
        <color theme="1"/>
        <rFont val="Calibri"/>
        <family val="2"/>
      </rPr>
      <t>.</t>
    </r>
  </si>
  <si>
    <t>The {} sheet does not exist. Please check that you have changed or deleted the sheet.</t>
  </si>
  <si>
    <t>The actual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</si>
  <si>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</si>
  <si>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finish date of the row number {1} in the {2} sheet was entered, but the actual start date is empty.</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</si>
  <si>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비어있고</t>
    </r>
    <r>
      <rPr>
        <sz val="9"/>
        <color theme="1"/>
        <rFont val="Calibri"/>
        <family val="2"/>
      </rPr>
      <t xml:space="preserve"> </t>
    </r>
    <r>
      <rPr>
        <sz val="9"/>
        <color theme="1"/>
        <rFont val="맑은 고딕"/>
        <family val="2"/>
      </rPr>
      <t>실제완료일만</t>
    </r>
    <r>
      <rPr>
        <sz val="9"/>
        <color theme="1"/>
        <rFont val="Calibri"/>
        <family val="2"/>
      </rPr>
      <t xml:space="preserve"> </t>
    </r>
    <r>
      <rPr>
        <sz val="9"/>
        <color theme="1"/>
        <rFont val="맑은 고딕"/>
        <family val="2"/>
      </rPr>
      <t>입력되어</t>
    </r>
    <r>
      <rPr>
        <sz val="9"/>
        <color theme="1"/>
        <rFont val="Calibri"/>
        <family val="2"/>
      </rPr>
      <t xml:space="preserve"> </t>
    </r>
    <r>
      <rPr>
        <sz val="9"/>
        <color theme="1"/>
        <rFont val="맑은 고딕"/>
        <family val="2"/>
      </rPr>
      <t>있습니다</t>
    </r>
    <r>
      <rPr>
        <sz val="9"/>
        <color theme="1"/>
        <rFont val="Calibri"/>
        <family val="2"/>
      </rPr>
      <t>.</t>
    </r>
  </si>
  <si>
    <t>The actual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</si>
  <si>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</si>
  <si>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actual start date of row number {1} in the {2} sheet is later than the actual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</si>
  <si>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실제시작일이</t>
    </r>
    <r>
      <rPr>
        <sz val="9"/>
        <color theme="1"/>
        <rFont val="Calibri"/>
        <family val="2"/>
      </rPr>
      <t xml:space="preserve"> </t>
    </r>
    <r>
      <rPr>
        <sz val="9"/>
        <color theme="1"/>
        <rFont val="맑은 고딕"/>
        <family val="2"/>
      </rPr>
      <t>실제완료일보다</t>
    </r>
    <r>
      <rPr>
        <sz val="9"/>
        <color theme="1"/>
        <rFont val="Calibri"/>
        <family val="2"/>
      </rPr>
      <t xml:space="preserve"> </t>
    </r>
    <r>
      <rPr>
        <sz val="9"/>
        <color theme="1"/>
        <rFont val="맑은 고딕"/>
        <family val="2"/>
      </rPr>
      <t>큽니다</t>
    </r>
    <r>
      <rPr>
        <sz val="9"/>
        <color theme="1"/>
        <rFont val="Calibri"/>
        <family val="2"/>
      </rPr>
      <t>.</t>
    </r>
  </si>
  <si>
    <t>The actual start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</si>
  <si>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</si>
  <si>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actual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</si>
  <si>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실젝</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</si>
  <si>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count of level</t>
  </si>
  <si>
    <r>
      <t>Level</t>
    </r>
    <r>
      <rPr>
        <sz val="9"/>
        <color theme="1"/>
        <rFont val="맑은 고딕"/>
        <family val="2"/>
      </rPr>
      <t>의</t>
    </r>
    <r>
      <rPr>
        <sz val="9"/>
        <color theme="1"/>
        <rFont val="Calibri"/>
        <family val="2"/>
      </rPr>
      <t xml:space="preserve"> </t>
    </r>
    <r>
      <rPr>
        <sz val="9"/>
        <color theme="1"/>
        <rFont val="맑은 고딕"/>
        <family val="2"/>
      </rPr>
      <t>갯수</t>
    </r>
  </si>
  <si>
    <t>The date field of row number {1} in the {2} sheet was entered, but the task field is empty.\nEnter a value in the task field or clear the date field.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</si>
  <si>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날짜는</t>
    </r>
    <r>
      <rPr>
        <sz val="9"/>
        <color theme="1"/>
        <rFont val="Calibri"/>
        <family val="2"/>
      </rPr>
      <t xml:space="preserve"> </t>
    </r>
    <r>
      <rPr>
        <sz val="9"/>
        <color theme="1"/>
        <rFont val="맑은 고딕"/>
        <family val="2"/>
      </rPr>
      <t>입력되었는데</t>
    </r>
    <r>
      <rPr>
        <sz val="9"/>
        <color theme="1"/>
        <rFont val="Calibri"/>
        <family val="2"/>
      </rPr>
      <t xml:space="preserve"> </t>
    </r>
    <r>
      <rPr>
        <sz val="9"/>
        <color theme="1"/>
        <rFont val="맑은 고딕"/>
        <family val="2"/>
      </rPr>
      <t>작업필드가</t>
    </r>
    <r>
      <rPr>
        <sz val="9"/>
        <color theme="1"/>
        <rFont val="Calibri"/>
        <family val="2"/>
      </rPr>
      <t xml:space="preserve"> </t>
    </r>
    <r>
      <rPr>
        <sz val="9"/>
        <color theme="1"/>
        <rFont val="맑은 고딕"/>
        <family val="2"/>
      </rPr>
      <t>비어있습니다</t>
    </r>
    <r>
      <rPr>
        <sz val="9"/>
        <color theme="1"/>
        <rFont val="Calibri"/>
        <family val="2"/>
      </rPr>
      <t>.\n</t>
    </r>
    <r>
      <rPr>
        <sz val="9"/>
        <color theme="1"/>
        <rFont val="맑은 고딕"/>
        <family val="2"/>
      </rPr>
      <t>작업필드의</t>
    </r>
    <r>
      <rPr>
        <sz val="9"/>
        <color theme="1"/>
        <rFont val="Calibri"/>
        <family val="2"/>
      </rPr>
      <t xml:space="preserve"> </t>
    </r>
    <r>
      <rPr>
        <sz val="9"/>
        <color theme="1"/>
        <rFont val="맑은 고딕"/>
        <family val="2"/>
      </rPr>
      <t>값을</t>
    </r>
    <r>
      <rPr>
        <sz val="9"/>
        <color theme="1"/>
        <rFont val="Calibri"/>
        <family val="2"/>
      </rPr>
      <t xml:space="preserve"> </t>
    </r>
    <r>
      <rPr>
        <sz val="9"/>
        <color theme="1"/>
        <rFont val="맑은 고딕"/>
        <family val="2"/>
      </rPr>
      <t>채우거나</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지우세요</t>
    </r>
    <r>
      <rPr>
        <sz val="9"/>
        <color theme="1"/>
        <rFont val="Calibri"/>
        <family val="2"/>
      </rPr>
      <t>.</t>
    </r>
  </si>
  <si>
    <t>The deliverables name is empty.</t>
  </si>
  <si>
    <r>
      <rPr>
        <sz val="9"/>
        <color theme="1"/>
        <rFont val="맑은 고딕"/>
        <family val="2"/>
      </rPr>
      <t>산출물명이</t>
    </r>
    <r>
      <rPr>
        <sz val="9"/>
        <color theme="1"/>
        <rFont val="Calibri"/>
        <family val="2"/>
      </rPr>
      <t xml:space="preserve"> </t>
    </r>
    <r>
      <rPr>
        <sz val="9"/>
        <color theme="1"/>
        <rFont val="맑은 고딕"/>
        <family val="2"/>
      </rPr>
      <t>비어있습니다</t>
    </r>
    <r>
      <rPr>
        <sz val="9"/>
        <color theme="1"/>
        <rFont val="Calibri"/>
        <family val="2"/>
      </rPr>
      <t>.</t>
    </r>
  </si>
  <si>
    <t>The earliest start date({1}) of the tasks is earlier than the start date({2}) of the project.\n\nIn this case, there may be problems with resource calculations. Please change the start date to valid date.</t>
  </si>
  <si>
    <r>
      <rPr>
        <sz val="9"/>
        <color theme="1"/>
        <rFont val="맑은 고딕"/>
        <family val="2"/>
      </rPr>
      <t>가장</t>
    </r>
    <r>
      <rPr>
        <sz val="9"/>
        <color theme="1"/>
        <rFont val="Calibri"/>
        <family val="2"/>
      </rPr>
      <t xml:space="preserve"> </t>
    </r>
    <r>
      <rPr>
        <sz val="9"/>
        <color theme="1"/>
        <rFont val="맑은 고딕"/>
        <family val="2"/>
      </rPr>
      <t>빠른</t>
    </r>
    <r>
      <rPr>
        <sz val="9"/>
        <color theme="1"/>
        <rFont val="Calibri"/>
        <family val="2"/>
      </rPr>
      <t xml:space="preserve"> </t>
    </r>
    <r>
      <rPr>
        <sz val="9"/>
        <color theme="1"/>
        <rFont val="맑은 고딕"/>
        <family val="2"/>
      </rPr>
      <t>시작일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시작일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빠릅니다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</si>
  <si>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finish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</si>
  <si>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</si>
  <si>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first column of Gantt area has been deleted. Please retry after changing the sheet to its previous state.</t>
  </si>
  <si>
    <r>
      <t>Gantt</t>
    </r>
    <r>
      <rPr>
        <sz val="9"/>
        <color theme="1"/>
        <rFont val="맑은 고딕"/>
        <family val="2"/>
      </rPr>
      <t>영역의</t>
    </r>
    <r>
      <rPr>
        <sz val="9"/>
        <color theme="1"/>
        <rFont val="Calibri"/>
        <family val="2"/>
      </rPr>
      <t xml:space="preserve"> </t>
    </r>
    <r>
      <rPr>
        <sz val="9"/>
        <color theme="1"/>
        <rFont val="맑은 고딕"/>
        <family val="2"/>
      </rPr>
      <t>첫번째</t>
    </r>
    <r>
      <rPr>
        <sz val="9"/>
        <color theme="1"/>
        <rFont val="Calibri"/>
        <family val="2"/>
      </rPr>
      <t xml:space="preserve"> </t>
    </r>
    <r>
      <rPr>
        <sz val="9"/>
        <color theme="1"/>
        <rFont val="맑은 고딕"/>
        <family val="2"/>
      </rPr>
      <t>열이</t>
    </r>
    <r>
      <rPr>
        <sz val="9"/>
        <color theme="1"/>
        <rFont val="Calibri"/>
        <family val="2"/>
      </rPr>
      <t xml:space="preserve"> </t>
    </r>
    <r>
      <rPr>
        <sz val="9"/>
        <color theme="1"/>
        <rFont val="맑은 고딕"/>
        <family val="2"/>
      </rPr>
      <t>삭제되었습니다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</si>
  <si>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following file formats are not supported. You can import files with version 0.9.7 or higher than 0.9.7.</t>
  </si>
  <si>
    <r>
      <rPr>
        <sz val="9"/>
        <color theme="1"/>
        <rFont val="맑은 고딕"/>
        <family val="2"/>
      </rPr>
      <t>다음</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형식입니다</t>
    </r>
    <r>
      <rPr>
        <sz val="9"/>
        <color theme="1"/>
        <rFont val="Calibri"/>
        <family val="2"/>
      </rPr>
      <t xml:space="preserve">. XLGantt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</si>
  <si>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 formats are not supported. You can import the files if the version is 0.9.7 or higher than 0.9.7.</t>
  </si>
  <si>
    <r>
      <rPr>
        <sz val="9"/>
        <color theme="1"/>
        <rFont val="맑은 고딕"/>
        <family val="2"/>
      </rPr>
      <t>다음의</t>
    </r>
    <r>
      <rPr>
        <sz val="9"/>
        <color theme="1"/>
        <rFont val="Calibri"/>
        <family val="2"/>
      </rPr>
      <t xml:space="preserve"> XLGantt</t>
    </r>
    <r>
      <rPr>
        <sz val="9"/>
        <color theme="1"/>
        <rFont val="맑은 고딕"/>
        <family val="2"/>
      </rPr>
      <t>파일은</t>
    </r>
    <r>
      <rPr>
        <sz val="9"/>
        <color theme="1"/>
        <rFont val="Calibri"/>
        <family val="2"/>
      </rPr>
      <t xml:space="preserve"> </t>
    </r>
    <r>
      <rPr>
        <sz val="9"/>
        <color theme="1"/>
        <rFont val="맑은 고딕"/>
        <family val="2"/>
      </rPr>
      <t>지원하지</t>
    </r>
    <r>
      <rPr>
        <sz val="9"/>
        <color theme="1"/>
        <rFont val="Calibri"/>
        <family val="2"/>
      </rPr>
      <t xml:space="preserve"> </t>
    </r>
    <r>
      <rPr>
        <sz val="9"/>
        <color theme="1"/>
        <rFont val="맑은 고딕"/>
        <family val="2"/>
      </rPr>
      <t>않는</t>
    </r>
    <r>
      <rPr>
        <sz val="9"/>
        <color theme="1"/>
        <rFont val="Calibri"/>
        <family val="2"/>
      </rPr>
      <t xml:space="preserve"> </t>
    </r>
    <r>
      <rPr>
        <sz val="9"/>
        <color theme="1"/>
        <rFont val="맑은 고딕"/>
        <family val="2"/>
      </rPr>
      <t>버전입니다</t>
    </r>
    <r>
      <rPr>
        <sz val="9"/>
        <color theme="1"/>
        <rFont val="Calibri"/>
        <family val="2"/>
      </rPr>
      <t xml:space="preserve">. Version 0.9.7 </t>
    </r>
    <r>
      <rPr>
        <sz val="9"/>
        <color theme="1"/>
        <rFont val="맑은 고딕"/>
        <family val="2"/>
      </rPr>
      <t>이상</t>
    </r>
    <r>
      <rPr>
        <sz val="9"/>
        <color theme="1"/>
        <rFont val="Calibri"/>
        <family val="2"/>
      </rPr>
      <t xml:space="preserve"> </t>
    </r>
    <r>
      <rPr>
        <sz val="9"/>
        <color theme="1"/>
        <rFont val="맑은 고딕"/>
        <family val="2"/>
      </rPr>
      <t>버전만</t>
    </r>
    <r>
      <rPr>
        <sz val="9"/>
        <color theme="1"/>
        <rFont val="Calibri"/>
        <family val="2"/>
      </rPr>
      <t xml:space="preserve"> </t>
    </r>
    <r>
      <rPr>
        <sz val="9"/>
        <color theme="1"/>
        <rFont val="맑은 고딕"/>
        <family val="2"/>
      </rPr>
      <t>지원합니다</t>
    </r>
    <r>
      <rPr>
        <sz val="9"/>
        <color theme="1"/>
        <rFont val="Calibri"/>
        <family val="2"/>
      </rPr>
      <t>.</t>
    </r>
  </si>
  <si>
    <t>The following files have been successfully imported.</t>
  </si>
  <si>
    <r>
      <rPr>
        <sz val="9"/>
        <color theme="1"/>
        <rFont val="맑은 고딕"/>
        <family val="2"/>
      </rPr>
      <t>다음</t>
    </r>
    <r>
      <rPr>
        <sz val="9"/>
        <color theme="1"/>
        <rFont val="Calibri"/>
        <family val="2"/>
      </rPr>
      <t xml:space="preserve"> </t>
    </r>
    <r>
      <rPr>
        <sz val="9"/>
        <color theme="1"/>
        <rFont val="맑은 고딕"/>
        <family val="2"/>
      </rPr>
      <t>파일을</t>
    </r>
    <r>
      <rPr>
        <sz val="9"/>
        <color theme="1"/>
        <rFont val="Calibri"/>
        <family val="2"/>
      </rPr>
      <t xml:space="preserve"> </t>
    </r>
    <r>
      <rPr>
        <sz val="9"/>
        <color theme="1"/>
        <rFont val="맑은 고딕"/>
        <family val="2"/>
      </rPr>
      <t>성공적으로</t>
    </r>
    <r>
      <rPr>
        <sz val="9"/>
        <color theme="1"/>
        <rFont val="Calibri"/>
        <family val="2"/>
      </rPr>
      <t xml:space="preserve"> </t>
    </r>
    <r>
      <rPr>
        <sz val="9"/>
        <color theme="1"/>
        <rFont val="맑은 고딕"/>
        <family val="2"/>
      </rPr>
      <t>가져왔습니다</t>
    </r>
    <r>
      <rPr>
        <sz val="9"/>
        <color theme="1"/>
        <rFont val="Calibri"/>
        <family val="2"/>
      </rPr>
      <t>.</t>
    </r>
  </si>
  <si>
    <t>The following folder does not exist.</t>
  </si>
  <si>
    <r>
      <rPr>
        <sz val="9"/>
        <color theme="1"/>
        <rFont val="맑은 고딕"/>
        <family val="2"/>
      </rPr>
      <t>다음의</t>
    </r>
    <r>
      <rPr>
        <sz val="9"/>
        <color theme="1"/>
        <rFont val="Calibri"/>
        <family val="2"/>
      </rPr>
      <t xml:space="preserve"> </t>
    </r>
    <r>
      <rPr>
        <sz val="9"/>
        <color theme="1"/>
        <rFont val="맑은 고딕"/>
        <family val="2"/>
      </rPr>
      <t>폴더가</t>
    </r>
    <r>
      <rPr>
        <sz val="9"/>
        <color theme="1"/>
        <rFont val="Calibri"/>
        <family val="2"/>
      </rPr>
      <t xml:space="preserve"> </t>
    </r>
    <r>
      <rPr>
        <sz val="9"/>
        <color theme="1"/>
        <rFont val="맑은 고딕"/>
        <family val="2"/>
      </rPr>
      <t>존재하지</t>
    </r>
    <r>
      <rPr>
        <sz val="9"/>
        <color theme="1"/>
        <rFont val="Calibri"/>
        <family val="2"/>
      </rPr>
      <t xml:space="preserve"> </t>
    </r>
    <r>
      <rPr>
        <sz val="9"/>
        <color theme="1"/>
        <rFont val="맑은 고딕"/>
        <family val="2"/>
      </rPr>
      <t>않습니다</t>
    </r>
    <r>
      <rPr>
        <sz val="9"/>
        <color theme="1"/>
        <rFont val="Calibri"/>
        <family val="2"/>
      </rPr>
      <t>.</t>
    </r>
  </si>
  <si>
    <t>The format of "Calculation Base Date of Planned %Work Complete" is invalid.</t>
  </si>
  <si>
    <r>
      <rPr>
        <sz val="9"/>
        <color theme="1"/>
        <rFont val="맑은 고딕"/>
        <family val="2"/>
      </rPr>
      <t>계획진척율</t>
    </r>
    <r>
      <rPr>
        <sz val="9"/>
        <color theme="1"/>
        <rFont val="Calibri"/>
        <family val="2"/>
      </rPr>
      <t xml:space="preserve"> </t>
    </r>
    <r>
      <rPr>
        <sz val="9"/>
        <color theme="1"/>
        <rFont val="맑은 고딕"/>
        <family val="2"/>
      </rPr>
      <t>계산</t>
    </r>
    <r>
      <rPr>
        <sz val="9"/>
        <color theme="1"/>
        <rFont val="Calibri"/>
        <family val="2"/>
      </rPr>
      <t xml:space="preserve"> </t>
    </r>
    <r>
      <rPr>
        <sz val="9"/>
        <color theme="1"/>
        <rFont val="맑은 고딕"/>
        <family val="2"/>
      </rPr>
      <t>기준일자의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</si>
  <si>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finish date is invalid.</t>
  </si>
  <si>
    <r>
      <rPr>
        <sz val="9"/>
        <color theme="1"/>
        <rFont val="맑은 고딕"/>
        <family val="2"/>
      </rPr>
      <t>프로젝트</t>
    </r>
    <r>
      <rPr>
        <sz val="9"/>
        <color theme="1"/>
        <rFont val="Calibri"/>
        <family val="2"/>
      </rPr>
      <t xml:space="preserve"> </t>
    </r>
    <r>
      <rPr>
        <sz val="9"/>
        <color theme="1"/>
        <rFont val="맑은 고딕"/>
        <family val="2"/>
      </rPr>
      <t>완료일의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</si>
  <si>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format of the project start date is invalid.</t>
  </si>
  <si>
    <r>
      <rPr>
        <sz val="9"/>
        <color theme="1"/>
        <rFont val="맑은 고딕"/>
        <family val="2"/>
      </rPr>
      <t>프로젝트</t>
    </r>
    <r>
      <rPr>
        <sz val="9"/>
        <color theme="1"/>
        <rFont val="Calibri"/>
        <family val="2"/>
      </rPr>
      <t xml:space="preserve"> </t>
    </r>
    <r>
      <rPr>
        <sz val="9"/>
        <color theme="1"/>
        <rFont val="맑은 고딕"/>
        <family val="2"/>
      </rPr>
      <t>시작일의</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잘못되었습니다</t>
    </r>
    <r>
      <rPr>
        <sz val="9"/>
        <color theme="1"/>
        <rFont val="Calibri"/>
        <family val="2"/>
      </rPr>
      <t>.</t>
    </r>
  </si>
  <si>
    <t>The job was not completed successfully.</t>
  </si>
  <si>
    <r>
      <rPr>
        <sz val="9"/>
        <color theme="1"/>
        <rFont val="맑은 고딕"/>
        <family val="2"/>
      </rPr>
      <t>작업이</t>
    </r>
    <r>
      <rPr>
        <sz val="9"/>
        <color theme="1"/>
        <rFont val="Calibri"/>
        <family val="2"/>
      </rPr>
      <t xml:space="preserve"> </t>
    </r>
    <r>
      <rPr>
        <sz val="9"/>
        <color theme="1"/>
        <rFont val="맑은 고딕"/>
        <family val="2"/>
      </rPr>
      <t>정상적으로</t>
    </r>
    <r>
      <rPr>
        <sz val="9"/>
        <color theme="1"/>
        <rFont val="Calibri"/>
        <family val="2"/>
      </rPr>
      <t xml:space="preserve"> </t>
    </r>
    <r>
      <rPr>
        <sz val="9"/>
        <color theme="1"/>
        <rFont val="맑은 고딕"/>
        <family val="2"/>
      </rPr>
      <t>완료되지</t>
    </r>
    <r>
      <rPr>
        <sz val="9"/>
        <color theme="1"/>
        <rFont val="Calibri"/>
        <family val="2"/>
      </rPr>
      <t xml:space="preserve"> </t>
    </r>
    <r>
      <rPr>
        <sz val="9"/>
        <color theme="1"/>
        <rFont val="맑은 고딕"/>
        <family val="2"/>
      </rPr>
      <t>않았습니다</t>
    </r>
    <r>
      <rPr>
        <sz val="9"/>
        <color theme="1"/>
        <rFont val="Calibri"/>
        <family val="2"/>
      </rPr>
      <t>.</t>
    </r>
  </si>
  <si>
    <t>The kind of period is invalid. You must enter one of the M(Months) or W(Weeks)</t>
  </si>
  <si>
    <r>
      <rPr>
        <sz val="9"/>
        <color theme="1"/>
        <rFont val="맑은 고딕"/>
        <family val="2"/>
      </rPr>
      <t>기간의</t>
    </r>
    <r>
      <rPr>
        <sz val="9"/>
        <color theme="1"/>
        <rFont val="Calibri"/>
        <family val="2"/>
      </rPr>
      <t xml:space="preserve"> </t>
    </r>
    <r>
      <rPr>
        <sz val="9"/>
        <color theme="1"/>
        <rFont val="맑은 고딕"/>
        <family val="2"/>
      </rPr>
      <t>종류가</t>
    </r>
    <r>
      <rPr>
        <sz val="9"/>
        <color theme="1"/>
        <rFont val="Calibri"/>
        <family val="2"/>
      </rPr>
      <t xml:space="preserve"> </t>
    </r>
    <r>
      <rPr>
        <sz val="9"/>
        <color theme="1"/>
        <rFont val="맑은 고딕"/>
        <family val="2"/>
      </rPr>
      <t>잘못되었습니다</t>
    </r>
    <r>
      <rPr>
        <sz val="9"/>
        <color theme="1"/>
        <rFont val="Calibri"/>
        <family val="2"/>
      </rPr>
      <t>. W(</t>
    </r>
    <r>
      <rPr>
        <sz val="9"/>
        <color theme="1"/>
        <rFont val="맑은 고딕"/>
        <family val="2"/>
      </rPr>
      <t>주</t>
    </r>
    <r>
      <rPr>
        <sz val="9"/>
        <color theme="1"/>
        <rFont val="Calibri"/>
        <family val="2"/>
      </rPr>
      <t>), M(</t>
    </r>
    <r>
      <rPr>
        <sz val="9"/>
        <color theme="1"/>
        <rFont val="맑은 고딕"/>
        <family val="2"/>
      </rPr>
      <t>월</t>
    </r>
    <r>
      <rPr>
        <sz val="9"/>
        <color theme="1"/>
        <rFont val="Calibri"/>
        <family val="2"/>
      </rPr>
      <t xml:space="preserve">) </t>
    </r>
    <r>
      <rPr>
        <sz val="9"/>
        <color theme="1"/>
        <rFont val="맑은 고딕"/>
        <family val="2"/>
      </rPr>
      <t>중에</t>
    </r>
    <r>
      <rPr>
        <sz val="9"/>
        <color theme="1"/>
        <rFont val="Calibri"/>
        <family val="2"/>
      </rPr>
      <t xml:space="preserve"> </t>
    </r>
    <r>
      <rPr>
        <sz val="9"/>
        <color theme="1"/>
        <rFont val="맑은 고딕"/>
        <family val="2"/>
      </rPr>
      <t>하나를</t>
    </r>
    <r>
      <rPr>
        <sz val="9"/>
        <color theme="1"/>
        <rFont val="Calibri"/>
        <family val="2"/>
      </rPr>
      <t xml:space="preserve"> </t>
    </r>
    <r>
      <rPr>
        <sz val="9"/>
        <color theme="1"/>
        <rFont val="맑은 고딕"/>
        <family val="2"/>
      </rPr>
      <t>입력해야</t>
    </r>
    <r>
      <rPr>
        <sz val="9"/>
        <color theme="1"/>
        <rFont val="Calibri"/>
        <family val="2"/>
      </rPr>
      <t xml:space="preserve"> </t>
    </r>
    <r>
      <rPr>
        <sz val="9"/>
        <color theme="1"/>
        <rFont val="맑은 고딕"/>
        <family val="2"/>
      </rPr>
      <t>합니다</t>
    </r>
  </si>
  <si>
    <t>The language setting has been changed.\nPress the OK button to start translation. \nIt may take a long time to translate.\nHowever, translation of Ribbon menu and Popup menu takes effect after reopening this XLGantt file.</t>
    <phoneticPr fontId="8"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</si>
  <si>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번역은</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8" type="noConversion"/>
  </si>
  <si>
    <t>The latest finish date({1}) of the tasks is later than the finish date({2}) of the project.\n\nIn this case, there may be problems with resource calculations. Please change the finish date to valid date.</t>
  </si>
  <si>
    <r>
      <rPr>
        <sz val="9"/>
        <color theme="1"/>
        <rFont val="맑은 고딕"/>
        <family val="2"/>
      </rPr>
      <t>가장</t>
    </r>
    <r>
      <rPr>
        <sz val="9"/>
        <color theme="1"/>
        <rFont val="Calibri"/>
        <family val="2"/>
      </rPr>
      <t xml:space="preserve"> </t>
    </r>
    <r>
      <rPr>
        <sz val="9"/>
        <color theme="1"/>
        <rFont val="맑은 고딕"/>
        <family val="2"/>
      </rPr>
      <t>늦은</t>
    </r>
    <r>
      <rPr>
        <sz val="9"/>
        <color theme="1"/>
        <rFont val="Calibri"/>
        <family val="2"/>
      </rPr>
      <t xml:space="preserve"> </t>
    </r>
    <r>
      <rPr>
        <sz val="9"/>
        <color theme="1"/>
        <rFont val="맑은 고딕"/>
        <family val="2"/>
      </rPr>
      <t>완료일</t>
    </r>
    <r>
      <rPr>
        <sz val="9"/>
        <color theme="1"/>
        <rFont val="Calibri"/>
        <family val="2"/>
      </rPr>
      <t>({1})</t>
    </r>
    <r>
      <rPr>
        <sz val="9"/>
        <color theme="1"/>
        <rFont val="맑은 고딕"/>
        <family val="2"/>
      </rPr>
      <t>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기간정보의</t>
    </r>
    <r>
      <rPr>
        <sz val="9"/>
        <color theme="1"/>
        <rFont val="Calibri"/>
        <family val="2"/>
      </rPr>
      <t xml:space="preserve"> </t>
    </r>
    <r>
      <rPr>
        <sz val="9"/>
        <color theme="1"/>
        <rFont val="맑은 고딕"/>
        <family val="2"/>
      </rPr>
      <t>완료일</t>
    </r>
    <r>
      <rPr>
        <sz val="9"/>
        <color theme="1"/>
        <rFont val="Calibri"/>
        <family val="2"/>
      </rPr>
      <t>({2})</t>
    </r>
    <r>
      <rPr>
        <sz val="9"/>
        <color theme="1"/>
        <rFont val="맑은 고딕"/>
        <family val="2"/>
      </rPr>
      <t>보다</t>
    </r>
    <r>
      <rPr>
        <sz val="9"/>
        <color theme="1"/>
        <rFont val="Calibri"/>
        <family val="2"/>
      </rPr>
      <t xml:space="preserve"> </t>
    </r>
    <r>
      <rPr>
        <sz val="9"/>
        <color theme="1"/>
        <rFont val="맑은 고딕"/>
        <family val="2"/>
      </rPr>
      <t>더</t>
    </r>
    <r>
      <rPr>
        <sz val="9"/>
        <color theme="1"/>
        <rFont val="Calibri"/>
        <family val="2"/>
      </rPr>
      <t xml:space="preserve"> </t>
    </r>
    <r>
      <rPr>
        <sz val="9"/>
        <color theme="1"/>
        <rFont val="맑은 고딕"/>
        <family val="2"/>
      </rPr>
      <t>늦습니다</t>
    </r>
    <r>
      <rPr>
        <sz val="9"/>
        <color theme="1"/>
        <rFont val="Calibri"/>
        <family val="2"/>
      </rPr>
      <t>.\n\n</t>
    </r>
    <r>
      <rPr>
        <sz val="9"/>
        <color theme="1"/>
        <rFont val="맑은 고딕"/>
        <family val="2"/>
      </rPr>
      <t>이</t>
    </r>
    <r>
      <rPr>
        <sz val="9"/>
        <color theme="1"/>
        <rFont val="Calibri"/>
        <family val="2"/>
      </rPr>
      <t xml:space="preserve"> </t>
    </r>
    <r>
      <rPr>
        <sz val="9"/>
        <color theme="1"/>
        <rFont val="맑은 고딕"/>
        <family val="2"/>
      </rPr>
      <t>경우</t>
    </r>
    <r>
      <rPr>
        <sz val="9"/>
        <color theme="1"/>
        <rFont val="Calibri"/>
        <family val="2"/>
      </rPr>
      <t xml:space="preserve"> </t>
    </r>
    <r>
      <rPr>
        <sz val="9"/>
        <color theme="1"/>
        <rFont val="맑은 고딕"/>
        <family val="2"/>
      </rPr>
      <t>리소스</t>
    </r>
    <r>
      <rPr>
        <sz val="9"/>
        <color theme="1"/>
        <rFont val="Calibri"/>
        <family val="2"/>
      </rPr>
      <t xml:space="preserve"> </t>
    </r>
    <r>
      <rPr>
        <sz val="9"/>
        <color theme="1"/>
        <rFont val="맑은 고딕"/>
        <family val="2"/>
      </rPr>
      <t>계산등에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있을</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환경설정메뉴의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기간내로</t>
    </r>
    <r>
      <rPr>
        <sz val="9"/>
        <color theme="1"/>
        <rFont val="Calibri"/>
        <family val="2"/>
      </rPr>
      <t xml:space="preserve"> </t>
    </r>
    <r>
      <rPr>
        <sz val="9"/>
        <color theme="1"/>
        <rFont val="맑은 고딕"/>
        <family val="2"/>
      </rPr>
      <t>조정하거나</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조정하시기</t>
    </r>
    <r>
      <rPr>
        <sz val="9"/>
        <color theme="1"/>
        <rFont val="Calibri"/>
        <family val="2"/>
      </rPr>
      <t xml:space="preserve"> </t>
    </r>
    <r>
      <rPr>
        <sz val="9"/>
        <color theme="1"/>
        <rFont val="맑은 고딕"/>
        <family val="2"/>
      </rPr>
      <t>바랍니다</t>
    </r>
    <r>
      <rPr>
        <sz val="9"/>
        <color theme="1"/>
        <rFont val="Calibri"/>
        <family val="2"/>
      </rPr>
      <t>.</t>
    </r>
  </si>
  <si>
    <t>The level of row {} is invalid.</t>
  </si>
  <si>
    <r>
      <t xml:space="preserve">{} </t>
    </r>
    <r>
      <rPr>
        <sz val="9"/>
        <color theme="1"/>
        <rFont val="맑은 고딕"/>
        <family val="2"/>
      </rPr>
      <t>행의</t>
    </r>
    <r>
      <rPr>
        <sz val="9"/>
        <color theme="1"/>
        <rFont val="Calibri"/>
        <family val="2"/>
      </rPr>
      <t xml:space="preserve"> Level</t>
    </r>
    <r>
      <rPr>
        <sz val="9"/>
        <color theme="1"/>
        <rFont val="맑은 고딕"/>
        <family val="2"/>
      </rPr>
      <t>이</t>
    </r>
    <r>
      <rPr>
        <sz val="9"/>
        <color theme="1"/>
        <rFont val="Calibri"/>
        <family val="2"/>
      </rPr>
      <t xml:space="preserve"> </t>
    </r>
    <r>
      <rPr>
        <sz val="9"/>
        <color theme="1"/>
        <rFont val="맑은 고딕"/>
        <family val="2"/>
      </rPr>
      <t>맞지</t>
    </r>
    <r>
      <rPr>
        <sz val="9"/>
        <color theme="1"/>
        <rFont val="Calibri"/>
        <family val="2"/>
      </rPr>
      <t xml:space="preserve"> </t>
    </r>
    <r>
      <rPr>
        <sz val="9"/>
        <color theme="1"/>
        <rFont val="맑은 고딕"/>
        <family val="2"/>
      </rPr>
      <t>않습니다</t>
    </r>
    <r>
      <rPr>
        <sz val="9"/>
        <color theme="1"/>
        <rFont val="Calibri"/>
        <family val="2"/>
      </rPr>
      <t>. Level</t>
    </r>
    <r>
      <rPr>
        <sz val="9"/>
        <color theme="1"/>
        <rFont val="맑은 고딕"/>
        <family val="2"/>
      </rPr>
      <t>을</t>
    </r>
    <r>
      <rPr>
        <sz val="9"/>
        <color theme="1"/>
        <rFont val="Calibri"/>
        <family val="2"/>
      </rPr>
      <t xml:space="preserve"> 1</t>
    </r>
    <r>
      <rPr>
        <sz val="9"/>
        <color theme="1"/>
        <rFont val="맑은 고딕"/>
        <family val="2"/>
      </rPr>
      <t>보다</t>
    </r>
    <r>
      <rPr>
        <sz val="9"/>
        <color theme="1"/>
        <rFont val="Calibri"/>
        <family val="2"/>
      </rPr>
      <t xml:space="preserve"> </t>
    </r>
    <r>
      <rPr>
        <sz val="9"/>
        <color theme="1"/>
        <rFont val="맑은 고딕"/>
        <family val="2"/>
      </rPr>
      <t>크게</t>
    </r>
    <r>
      <rPr>
        <sz val="9"/>
        <color theme="1"/>
        <rFont val="Calibri"/>
        <family val="2"/>
      </rPr>
      <t xml:space="preserve"> </t>
    </r>
    <r>
      <rPr>
        <sz val="9"/>
        <color theme="1"/>
        <rFont val="맑은 고딕"/>
        <family val="2"/>
      </rPr>
      <t>증가했는지</t>
    </r>
    <r>
      <rPr>
        <sz val="9"/>
        <color theme="1"/>
        <rFont val="Calibri"/>
        <family val="2"/>
      </rPr>
      <t xml:space="preserve"> </t>
    </r>
    <r>
      <rPr>
        <sz val="9"/>
        <color theme="1"/>
        <rFont val="맑은 고딕"/>
        <family val="2"/>
      </rPr>
      <t>확인하세요</t>
    </r>
    <r>
      <rPr>
        <sz val="9"/>
        <color theme="1"/>
        <rFont val="Calibri"/>
        <family val="2"/>
      </rPr>
      <t>.</t>
    </r>
  </si>
  <si>
    <t>The number of Level must be less than or equal to {}</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</si>
  <si>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개까지만</t>
    </r>
    <r>
      <rPr>
        <sz val="9"/>
        <color theme="1"/>
        <rFont val="Calibri"/>
        <family val="2"/>
      </rPr>
      <t xml:space="preserve"> </t>
    </r>
    <r>
      <rPr>
        <sz val="9"/>
        <color theme="1"/>
        <rFont val="맑은 고딕"/>
        <family val="2"/>
      </rPr>
      <t>가능합니다</t>
    </r>
    <r>
      <rPr>
        <sz val="9"/>
        <color theme="1"/>
        <rFont val="Calibri"/>
        <family val="2"/>
      </rPr>
      <t>.</t>
    </r>
  </si>
  <si>
    <t>The number of Level must be positive integer.</t>
  </si>
  <si>
    <r>
      <t>Level</t>
    </r>
    <r>
      <rPr>
        <sz val="9"/>
        <color theme="1"/>
        <rFont val="맑은 고딕"/>
        <family val="2"/>
      </rPr>
      <t>의</t>
    </r>
    <r>
      <rPr>
        <sz val="9"/>
        <color theme="1"/>
        <rFont val="Calibri"/>
        <family val="2"/>
      </rPr>
      <t xml:space="preserve"> </t>
    </r>
    <r>
      <rPr>
        <sz val="9"/>
        <color theme="1"/>
        <rFont val="맑은 고딕"/>
        <family val="2"/>
      </rPr>
      <t>갯수는</t>
    </r>
    <r>
      <rPr>
        <sz val="9"/>
        <color theme="1"/>
        <rFont val="Calibri"/>
        <family val="2"/>
      </rPr>
      <t xml:space="preserve"> </t>
    </r>
    <r>
      <rPr>
        <sz val="9"/>
        <color theme="1"/>
        <rFont val="맑은 고딕"/>
        <family val="2"/>
      </rPr>
      <t>양의</t>
    </r>
    <r>
      <rPr>
        <sz val="9"/>
        <color theme="1"/>
        <rFont val="Calibri"/>
        <family val="2"/>
      </rPr>
      <t xml:space="preserve"> </t>
    </r>
    <r>
      <rPr>
        <sz val="9"/>
        <color theme="1"/>
        <rFont val="맑은 고딕"/>
        <family val="2"/>
      </rPr>
      <t>정수만</t>
    </r>
    <r>
      <rPr>
        <sz val="9"/>
        <color theme="1"/>
        <rFont val="Calibri"/>
        <family val="2"/>
      </rPr>
      <t xml:space="preserve"> </t>
    </r>
    <r>
      <rPr>
        <sz val="9"/>
        <color theme="1"/>
        <rFont val="맑은 고딕"/>
        <family val="2"/>
      </rPr>
      <t>가능합니다</t>
    </r>
    <r>
      <rPr>
        <sz val="9"/>
        <color theme="1"/>
        <rFont val="Calibri"/>
        <family val="2"/>
      </rPr>
      <t>.</t>
    </r>
  </si>
  <si>
    <t>The number of task columns is not 7. Please retry after changing the sheet to its previous state.</t>
  </si>
  <si>
    <r>
      <t>Task</t>
    </r>
    <r>
      <rPr>
        <sz val="9"/>
        <color theme="1"/>
        <rFont val="맑은 고딕"/>
        <family val="2"/>
      </rPr>
      <t>열의</t>
    </r>
    <r>
      <rPr>
        <sz val="9"/>
        <color theme="1"/>
        <rFont val="Calibri"/>
        <family val="2"/>
      </rPr>
      <t xml:space="preserve"> </t>
    </r>
    <r>
      <rPr>
        <sz val="9"/>
        <color theme="1"/>
        <rFont val="맑은 고딕"/>
        <family val="2"/>
      </rPr>
      <t>갯수가</t>
    </r>
    <r>
      <rPr>
        <sz val="9"/>
        <color theme="1"/>
        <rFont val="Calibri"/>
        <family val="2"/>
      </rPr>
      <t xml:space="preserve"> 7</t>
    </r>
    <r>
      <rPr>
        <sz val="9"/>
        <color theme="1"/>
        <rFont val="맑은 고딕"/>
        <family val="2"/>
      </rPr>
      <t>개가</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원래대로</t>
    </r>
    <r>
      <rPr>
        <sz val="9"/>
        <color theme="1"/>
        <rFont val="Calibri"/>
        <family val="2"/>
      </rPr>
      <t xml:space="preserve"> </t>
    </r>
    <r>
      <rPr>
        <sz val="9"/>
        <color theme="1"/>
        <rFont val="맑은 고딕"/>
        <family val="2"/>
      </rPr>
      <t>복구한</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작업하세요</t>
    </r>
    <r>
      <rPr>
        <sz val="9"/>
        <color theme="1"/>
        <rFont val="Calibri"/>
        <family val="2"/>
      </rPr>
      <t>.</t>
    </r>
  </si>
  <si>
    <t>The process was terminated due to the {} sheet error.</t>
  </si>
  <si>
    <r>
      <t>{} sheet</t>
    </r>
    <r>
      <rPr>
        <sz val="9"/>
        <color theme="1"/>
        <rFont val="맑은 고딕"/>
        <family val="2"/>
      </rPr>
      <t>의</t>
    </r>
    <r>
      <rPr>
        <sz val="9"/>
        <color theme="1"/>
        <rFont val="Calibri"/>
        <family val="2"/>
      </rPr>
      <t xml:space="preserve"> </t>
    </r>
    <r>
      <rPr>
        <sz val="9"/>
        <color theme="1"/>
        <rFont val="맑은 고딕"/>
        <family val="2"/>
      </rPr>
      <t>에러로</t>
    </r>
    <r>
      <rPr>
        <sz val="9"/>
        <color theme="1"/>
        <rFont val="Calibri"/>
        <family val="2"/>
      </rPr>
      <t xml:space="preserve"> </t>
    </r>
    <r>
      <rPr>
        <sz val="9"/>
        <color theme="1"/>
        <rFont val="맑은 고딕"/>
        <family val="2"/>
      </rPr>
      <t>인해</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중단되었습니다</t>
    </r>
    <r>
      <rPr>
        <sz val="9"/>
        <color theme="1"/>
        <rFont val="Calibri"/>
        <family val="2"/>
      </rPr>
      <t>.</t>
    </r>
  </si>
  <si>
    <t>The project finish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</si>
  <si>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완료일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t>
    </r>
  </si>
  <si>
    <t>The project start date({}) you entered is not valid date format.</t>
  </si>
  <si>
    <r>
      <rPr>
        <sz val="9"/>
        <color theme="1"/>
        <rFont val="맑은 고딕"/>
        <family val="2"/>
      </rPr>
      <t>입력한</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기간의</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</si>
  <si>
    <t>The start date format of row number {1} in the {2} sheet is invalid.</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</si>
  <si>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날짜형식이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정확한</t>
    </r>
    <r>
      <rPr>
        <sz val="9"/>
        <color theme="1"/>
        <rFont val="Calibri"/>
        <family val="2"/>
      </rPr>
      <t xml:space="preserve"> </t>
    </r>
    <r>
      <rPr>
        <sz val="9"/>
        <color theme="1"/>
        <rFont val="맑은 고딕"/>
        <family val="2"/>
      </rPr>
      <t>날짜형식으로</t>
    </r>
    <r>
      <rPr>
        <sz val="9"/>
        <color theme="1"/>
        <rFont val="Calibri"/>
        <family val="2"/>
      </rPr>
      <t xml:space="preserve"> </t>
    </r>
    <r>
      <rPr>
        <sz val="9"/>
        <color theme="1"/>
        <rFont val="맑은 고딕"/>
        <family val="2"/>
      </rPr>
      <t>입력하세요</t>
    </r>
    <r>
      <rPr>
        <sz val="9"/>
        <color theme="1"/>
        <rFont val="Calibri"/>
        <family val="2"/>
      </rPr>
      <t>.</t>
    </r>
  </si>
  <si>
    <t>The start date is later than the finish date.</t>
  </si>
  <si>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</si>
  <si>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date of row number {1} in the {2} sheet is later than the finish date.</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</si>
  <si>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시작일이</t>
    </r>
    <r>
      <rPr>
        <sz val="9"/>
        <color theme="1"/>
        <rFont val="Calibri"/>
        <family val="2"/>
      </rPr>
      <t xml:space="preserve"> </t>
    </r>
    <r>
      <rPr>
        <sz val="9"/>
        <color theme="1"/>
        <rFont val="맑은 고딕"/>
        <family val="2"/>
      </rPr>
      <t>완료일보다</t>
    </r>
    <r>
      <rPr>
        <sz val="9"/>
        <color theme="1"/>
        <rFont val="Calibri"/>
        <family val="2"/>
      </rPr>
      <t xml:space="preserve"> </t>
    </r>
    <r>
      <rPr>
        <sz val="9"/>
        <color theme="1"/>
        <rFont val="맑은 고딕"/>
        <family val="2"/>
      </rPr>
      <t>큽니다</t>
    </r>
    <r>
      <rPr>
        <sz val="9"/>
        <color theme="1"/>
        <rFont val="Calibri"/>
        <family val="2"/>
      </rPr>
      <t>.</t>
    </r>
  </si>
  <si>
    <t>The start or finish date of row number {1} in the {2} sheet is out of the project duration.</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</si>
  <si>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벗어났습니다</t>
    </r>
    <r>
      <rPr>
        <sz val="9"/>
        <color theme="1"/>
        <rFont val="Calibri"/>
        <family val="2"/>
      </rPr>
      <t>.</t>
    </r>
  </si>
  <si>
    <t>The task of the first row of the {} sheet is not level 1.</t>
  </si>
  <si>
    <r>
      <t xml:space="preserve">{} sheet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1 Level</t>
    </r>
    <r>
      <rPr>
        <sz val="9"/>
        <color theme="1"/>
        <rFont val="맑은 고딕"/>
        <family val="2"/>
      </rPr>
      <t>이</t>
    </r>
    <r>
      <rPr>
        <sz val="9"/>
        <color theme="1"/>
        <rFont val="Calibri"/>
        <family val="2"/>
      </rPr>
      <t xml:space="preserve"> </t>
    </r>
    <r>
      <rPr>
        <sz val="9"/>
        <color theme="1"/>
        <rFont val="맑은 고딕"/>
        <family val="2"/>
      </rPr>
      <t>아닙니다</t>
    </r>
    <r>
      <rPr>
        <sz val="9"/>
        <color theme="1"/>
        <rFont val="Calibri"/>
        <family val="2"/>
      </rPr>
      <t xml:space="preserve">. </t>
    </r>
    <r>
      <rPr>
        <sz val="9"/>
        <color theme="1"/>
        <rFont val="맑은 고딕"/>
        <family val="2"/>
      </rPr>
      <t>첫행의</t>
    </r>
    <r>
      <rPr>
        <sz val="9"/>
        <color theme="1"/>
        <rFont val="Calibri"/>
        <family val="2"/>
      </rPr>
      <t xml:space="preserve"> </t>
    </r>
    <r>
      <rPr>
        <sz val="9"/>
        <color theme="1"/>
        <rFont val="맑은 고딕"/>
        <family val="2"/>
      </rPr>
      <t>작업이</t>
    </r>
    <r>
      <rPr>
        <sz val="9"/>
        <color theme="1"/>
        <rFont val="Calibri"/>
        <family val="2"/>
      </rPr>
      <t xml:space="preserve"> </t>
    </r>
    <r>
      <rPr>
        <sz val="9"/>
        <color theme="1"/>
        <rFont val="맑은 고딕"/>
        <family val="2"/>
      </rPr>
      <t>첫째칸이</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다른</t>
    </r>
    <r>
      <rPr>
        <sz val="9"/>
        <color theme="1"/>
        <rFont val="Calibri"/>
        <family val="2"/>
      </rPr>
      <t xml:space="preserve"> </t>
    </r>
    <r>
      <rPr>
        <sz val="9"/>
        <color theme="1"/>
        <rFont val="맑은 고딕"/>
        <family val="2"/>
      </rPr>
      <t>칸에</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확인하세요</t>
    </r>
    <r>
      <rPr>
        <sz val="9"/>
        <color theme="1"/>
        <rFont val="Calibri"/>
        <family val="2"/>
      </rPr>
      <t>.</t>
    </r>
  </si>
  <si>
    <t>The type of task fields</t>
  </si>
  <si>
    <r>
      <t>Task</t>
    </r>
    <r>
      <rPr>
        <sz val="9"/>
        <color theme="1"/>
        <rFont val="맑은 고딕"/>
        <family val="2"/>
      </rPr>
      <t>필드</t>
    </r>
    <r>
      <rPr>
        <sz val="9"/>
        <color theme="1"/>
        <rFont val="Calibri"/>
        <family val="2"/>
      </rPr>
      <t xml:space="preserve"> </t>
    </r>
    <r>
      <rPr>
        <sz val="9"/>
        <color theme="1"/>
        <rFont val="맑은 고딕"/>
        <family val="2"/>
      </rPr>
      <t>유형</t>
    </r>
  </si>
  <si>
    <t>The weight of row number {1} in the {2} sheet is not a number.</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</si>
  <si>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가중치가</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아닙니다</t>
    </r>
    <r>
      <rPr>
        <sz val="9"/>
        <color theme="1"/>
        <rFont val="Calibri"/>
        <family val="2"/>
      </rPr>
      <t>.</t>
    </r>
  </si>
  <si>
    <t>There are no executable programs that open the deliverables.</t>
  </si>
  <si>
    <r>
      <rPr>
        <sz val="9"/>
        <color theme="1"/>
        <rFont val="맑은 고딕"/>
        <family val="2"/>
      </rPr>
      <t>입력한</t>
    </r>
    <r>
      <rPr>
        <sz val="9"/>
        <color theme="1"/>
        <rFont val="Calibri"/>
        <family val="2"/>
      </rPr>
      <t xml:space="preserve"> </t>
    </r>
    <r>
      <rPr>
        <sz val="9"/>
        <color theme="1"/>
        <rFont val="맑은 고딕"/>
        <family val="2"/>
      </rPr>
      <t>산출물을</t>
    </r>
    <r>
      <rPr>
        <sz val="9"/>
        <color theme="1"/>
        <rFont val="Calibri"/>
        <family val="2"/>
      </rPr>
      <t xml:space="preserve"> </t>
    </r>
    <r>
      <rPr>
        <sz val="9"/>
        <color theme="1"/>
        <rFont val="맑은 고딕"/>
        <family val="2"/>
      </rPr>
      <t>열</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있는</t>
    </r>
    <r>
      <rPr>
        <sz val="9"/>
        <color theme="1"/>
        <rFont val="Calibri"/>
        <family val="2"/>
      </rPr>
      <t xml:space="preserve"> </t>
    </r>
    <r>
      <rPr>
        <sz val="9"/>
        <color theme="1"/>
        <rFont val="맑은 고딕"/>
        <family val="2"/>
      </rPr>
      <t>실행프로그램이</t>
    </r>
    <r>
      <rPr>
        <sz val="9"/>
        <color theme="1"/>
        <rFont val="Calibri"/>
        <family val="2"/>
      </rPr>
      <t xml:space="preserve"> </t>
    </r>
    <r>
      <rPr>
        <sz val="9"/>
        <color theme="1"/>
        <rFont val="맑은 고딕"/>
        <family val="2"/>
      </rPr>
      <t>없습니다</t>
    </r>
    <r>
      <rPr>
        <sz val="9"/>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</si>
  <si>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</si>
  <si>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총작업량</t>
    </r>
    <r>
      <rPr>
        <sz val="9"/>
        <color theme="1"/>
        <rFont val="Calibri"/>
        <family val="2"/>
      </rPr>
      <t xml:space="preserve"> </t>
    </r>
    <r>
      <rPr>
        <sz val="9"/>
        <color theme="1"/>
        <rFont val="맑은 고딕"/>
        <family val="2"/>
      </rPr>
      <t>또는계획작업량</t>
    </r>
    <r>
      <rPr>
        <sz val="9"/>
        <color theme="1"/>
        <rFont val="Calibri"/>
        <family val="2"/>
      </rPr>
      <t xml:space="preserve"> </t>
    </r>
    <r>
      <rPr>
        <sz val="9"/>
        <color theme="1"/>
        <rFont val="맑은 고딕"/>
        <family val="2"/>
      </rPr>
      <t>필드에</t>
    </r>
    <r>
      <rPr>
        <sz val="9"/>
        <color theme="1"/>
        <rFont val="Calibri"/>
        <family val="2"/>
      </rPr>
      <t xml:space="preserve"> </t>
    </r>
    <r>
      <rPr>
        <sz val="9"/>
        <color theme="1"/>
        <rFont val="맑은 고딕"/>
        <family val="2"/>
      </rPr>
      <t>오류가</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완료일이</t>
    </r>
    <r>
      <rPr>
        <sz val="9"/>
        <color theme="1"/>
        <rFont val="Calibri"/>
        <family val="2"/>
      </rPr>
      <t xml:space="preserve"> </t>
    </r>
    <r>
      <rPr>
        <sz val="9"/>
        <color theme="1"/>
        <rFont val="맑은 고딕"/>
        <family val="2"/>
      </rPr>
      <t>잘못</t>
    </r>
    <r>
      <rPr>
        <sz val="9"/>
        <color theme="1"/>
        <rFont val="Calibri"/>
        <family val="2"/>
      </rPr>
      <t xml:space="preserve"> </t>
    </r>
    <r>
      <rPr>
        <sz val="9"/>
        <color theme="1"/>
        <rFont val="맑은 고딕"/>
        <family val="2"/>
      </rPr>
      <t>입력되었는지</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수식에</t>
    </r>
    <r>
      <rPr>
        <sz val="9"/>
        <color theme="1"/>
        <rFont val="Calibri"/>
        <family val="2"/>
      </rPr>
      <t xml:space="preserve"> </t>
    </r>
    <r>
      <rPr>
        <sz val="9"/>
        <color theme="1"/>
        <rFont val="맑은 고딕"/>
        <family val="2"/>
      </rPr>
      <t>문제가</t>
    </r>
    <r>
      <rPr>
        <sz val="9"/>
        <color theme="1"/>
        <rFont val="Calibri"/>
        <family val="2"/>
      </rPr>
      <t xml:space="preserve"> </t>
    </r>
    <r>
      <rPr>
        <sz val="9"/>
        <color theme="1"/>
        <rFont val="맑은 고딕"/>
        <family val="2"/>
      </rPr>
      <t>없는지</t>
    </r>
    <r>
      <rPr>
        <sz val="9"/>
        <color theme="1"/>
        <rFont val="Calibri"/>
        <family val="2"/>
      </rPr>
      <t xml:space="preserve"> </t>
    </r>
    <r>
      <rPr>
        <sz val="9"/>
        <color theme="1"/>
        <rFont val="맑은 고딕"/>
        <family val="2"/>
      </rPr>
      <t>확인하세요</t>
    </r>
    <r>
      <rPr>
        <sz val="9"/>
        <color theme="1"/>
        <rFont val="Calibri"/>
        <family val="2"/>
      </rPr>
      <t>.</t>
    </r>
  </si>
  <si>
    <t>There is no data in the following files</t>
  </si>
  <si>
    <r>
      <rPr>
        <sz val="9"/>
        <color theme="1"/>
        <rFont val="맑은 고딕"/>
        <family val="2"/>
      </rPr>
      <t>다음</t>
    </r>
    <r>
      <rPr>
        <sz val="9"/>
        <color theme="1"/>
        <rFont val="Calibri"/>
        <family val="2"/>
      </rPr>
      <t xml:space="preserve"> </t>
    </r>
    <r>
      <rPr>
        <sz val="9"/>
        <color theme="1"/>
        <rFont val="맑은 고딕"/>
        <family val="2"/>
      </rPr>
      <t>파일에</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</si>
  <si>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</si>
  <si>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</si>
  <si>
    <t>There is no input data that will be calculated.</t>
  </si>
  <si>
    <r>
      <rPr>
        <sz val="9"/>
        <color theme="1"/>
        <rFont val="맑은 고딕"/>
        <family val="2"/>
      </rPr>
      <t>계산할</t>
    </r>
    <r>
      <rPr>
        <sz val="9"/>
        <color theme="1"/>
        <rFont val="Calibri"/>
        <family val="2"/>
      </rPr>
      <t xml:space="preserve"> </t>
    </r>
    <r>
      <rPr>
        <sz val="9"/>
        <color theme="1"/>
        <rFont val="맑은 고딕"/>
        <family val="2"/>
      </rPr>
      <t>입력자료가</t>
    </r>
    <r>
      <rPr>
        <sz val="9"/>
        <color theme="1"/>
        <rFont val="Calibri"/>
        <family val="2"/>
      </rPr>
      <t xml:space="preserve"> </t>
    </r>
    <r>
      <rPr>
        <sz val="9"/>
        <color theme="1"/>
        <rFont val="맑은 고딕"/>
        <family val="2"/>
      </rPr>
      <t>없습니다</t>
    </r>
    <r>
      <rPr>
        <sz val="9"/>
        <color theme="1"/>
        <rFont val="Calibri"/>
        <family val="2"/>
      </rPr>
      <t>.</t>
    </r>
  </si>
  <si>
    <t>There is no input data.</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</si>
  <si>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t>
    </r>
  </si>
  <si>
    <t>There is no input data. Please enter after reformatting.</t>
  </si>
  <si>
    <r>
      <rPr>
        <sz val="9"/>
        <color theme="1"/>
        <rFont val="맑은 고딕"/>
        <family val="2"/>
      </rPr>
      <t>입력된</t>
    </r>
    <r>
      <rPr>
        <sz val="9"/>
        <color theme="1"/>
        <rFont val="Calibri"/>
        <family val="2"/>
      </rPr>
      <t xml:space="preserve"> </t>
    </r>
    <r>
      <rPr>
        <sz val="9"/>
        <color theme="1"/>
        <rFont val="맑은 고딕"/>
        <family val="2"/>
      </rPr>
      <t>자료가</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입력</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서식재설정</t>
    </r>
    <r>
      <rPr>
        <sz val="9"/>
        <color theme="1"/>
        <rFont val="Calibri"/>
        <family val="2"/>
      </rPr>
      <t xml:space="preserve"> </t>
    </r>
    <r>
      <rPr>
        <sz val="9"/>
        <color theme="1"/>
        <rFont val="맑은 고딕"/>
        <family val="2"/>
      </rPr>
      <t>해</t>
    </r>
    <r>
      <rPr>
        <sz val="9"/>
        <color theme="1"/>
        <rFont val="Calibri"/>
        <family val="2"/>
      </rPr>
      <t xml:space="preserve"> </t>
    </r>
    <r>
      <rPr>
        <sz val="9"/>
        <color theme="1"/>
        <rFont val="맑은 고딕"/>
        <family val="2"/>
      </rPr>
      <t>주세요</t>
    </r>
    <r>
      <rPr>
        <sz val="9"/>
        <color theme="1"/>
        <rFont val="Calibri"/>
        <family val="2"/>
      </rPr>
      <t>.</t>
    </r>
  </si>
  <si>
    <t>There was an error in "Progress Line" drawing. This can happen if the actual start date or actual finish date is beyond the project period. Check the message below.</t>
  </si>
  <si>
    <r>
      <rPr>
        <sz val="9"/>
        <color theme="1"/>
        <rFont val="맑은 고딕"/>
        <family val="2"/>
      </rPr>
      <t>진척율선</t>
    </r>
    <r>
      <rPr>
        <sz val="9"/>
        <color theme="1"/>
        <rFont val="Calibri"/>
        <family val="2"/>
      </rPr>
      <t xml:space="preserve"> </t>
    </r>
    <r>
      <rPr>
        <sz val="9"/>
        <color theme="1"/>
        <rFont val="맑은 고딕"/>
        <family val="2"/>
      </rPr>
      <t>그리기</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중</t>
    </r>
    <r>
      <rPr>
        <sz val="9"/>
        <color theme="1"/>
        <rFont val="Calibri"/>
        <family val="2"/>
      </rPr>
      <t xml:space="preserve"> </t>
    </r>
    <r>
      <rPr>
        <sz val="9"/>
        <color theme="1"/>
        <rFont val="맑은 고딕"/>
        <family val="2"/>
      </rPr>
      <t>에러가</t>
    </r>
    <r>
      <rPr>
        <sz val="9"/>
        <color theme="1"/>
        <rFont val="Calibri"/>
        <family val="2"/>
      </rPr>
      <t xml:space="preserve"> </t>
    </r>
    <r>
      <rPr>
        <sz val="9"/>
        <color theme="1"/>
        <rFont val="맑은 고딕"/>
        <family val="2"/>
      </rPr>
      <t>발생했습니다</t>
    </r>
    <r>
      <rPr>
        <sz val="9"/>
        <color theme="1"/>
        <rFont val="Calibri"/>
        <family val="2"/>
      </rPr>
      <t xml:space="preserve">. </t>
    </r>
    <r>
      <rPr>
        <sz val="9"/>
        <color theme="1"/>
        <rFont val="맑은 고딕"/>
        <family val="2"/>
      </rPr>
      <t>실제시작일</t>
    </r>
    <r>
      <rPr>
        <sz val="9"/>
        <color theme="1"/>
        <rFont val="Calibri"/>
        <family val="2"/>
      </rPr>
      <t xml:space="preserve"> </t>
    </r>
    <r>
      <rPr>
        <sz val="9"/>
        <color theme="1"/>
        <rFont val="맑은 고딕"/>
        <family val="2"/>
      </rPr>
      <t>또는</t>
    </r>
    <r>
      <rPr>
        <sz val="9"/>
        <color theme="1"/>
        <rFont val="Calibri"/>
        <family val="2"/>
      </rPr>
      <t xml:space="preserve"> </t>
    </r>
    <r>
      <rPr>
        <sz val="9"/>
        <color theme="1"/>
        <rFont val="맑은 고딕"/>
        <family val="2"/>
      </rPr>
      <t>실제완료일이</t>
    </r>
    <r>
      <rPr>
        <sz val="9"/>
        <color theme="1"/>
        <rFont val="Calibri"/>
        <family val="2"/>
      </rPr>
      <t xml:space="preserve"> </t>
    </r>
    <r>
      <rPr>
        <sz val="9"/>
        <color theme="1"/>
        <rFont val="맑은 고딕"/>
        <family val="2"/>
      </rPr>
      <t>프로젝트</t>
    </r>
    <r>
      <rPr>
        <sz val="9"/>
        <color theme="1"/>
        <rFont val="Calibri"/>
        <family val="2"/>
      </rPr>
      <t xml:space="preserve"> </t>
    </r>
    <r>
      <rPr>
        <sz val="9"/>
        <color theme="1"/>
        <rFont val="맑은 고딕"/>
        <family val="2"/>
      </rPr>
      <t>기간을</t>
    </r>
    <r>
      <rPr>
        <sz val="9"/>
        <color theme="1"/>
        <rFont val="Calibri"/>
        <family val="2"/>
      </rPr>
      <t xml:space="preserve"> </t>
    </r>
    <r>
      <rPr>
        <sz val="9"/>
        <color theme="1"/>
        <rFont val="맑은 고딕"/>
        <family val="2"/>
      </rPr>
      <t>벗어난</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발생할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메시지를</t>
    </r>
    <r>
      <rPr>
        <sz val="9"/>
        <color theme="1"/>
        <rFont val="Calibri"/>
        <family val="2"/>
      </rPr>
      <t xml:space="preserve"> </t>
    </r>
    <r>
      <rPr>
        <sz val="9"/>
        <color theme="1"/>
        <rFont val="맑은 고딕"/>
        <family val="2"/>
      </rPr>
      <t>확인하십시오</t>
    </r>
    <r>
      <rPr>
        <sz val="9"/>
        <color theme="1"/>
        <rFont val="Calibri"/>
        <family val="2"/>
      </rPr>
      <t>.</t>
    </r>
  </si>
  <si>
    <t>This area can not be selected. Please select an area that contains tasks.</t>
  </si>
  <si>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없는</t>
    </r>
    <r>
      <rPr>
        <sz val="9"/>
        <color theme="1"/>
        <rFont val="Calibri"/>
        <family val="2"/>
      </rPr>
      <t xml:space="preserve"> </t>
    </r>
    <r>
      <rPr>
        <sz val="9"/>
        <color theme="1"/>
        <rFont val="맑은 고딕"/>
        <family val="2"/>
      </rPr>
      <t>영역입니다</t>
    </r>
    <r>
      <rPr>
        <sz val="9"/>
        <color theme="1"/>
        <rFont val="Calibri"/>
        <family val="2"/>
      </rPr>
      <t xml:space="preserve">. </t>
    </r>
    <r>
      <rPr>
        <sz val="9"/>
        <color theme="1"/>
        <rFont val="맑은 고딕"/>
        <family val="2"/>
      </rPr>
      <t>작업명이</t>
    </r>
    <r>
      <rPr>
        <sz val="9"/>
        <color theme="1"/>
        <rFont val="Calibri"/>
        <family val="2"/>
      </rPr>
      <t xml:space="preserve"> </t>
    </r>
    <r>
      <rPr>
        <sz val="9"/>
        <color theme="1"/>
        <rFont val="맑은 고딕"/>
        <family val="2"/>
      </rPr>
      <t>입력된</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선택하세요</t>
    </r>
    <r>
      <rPr>
        <sz val="9"/>
        <color theme="1"/>
        <rFont val="Calibri"/>
        <family val="2"/>
      </rPr>
      <t>.</t>
    </r>
  </si>
  <si>
    <t>This Month only</t>
  </si>
  <si>
    <r>
      <rPr>
        <sz val="9"/>
        <color theme="1"/>
        <rFont val="맑은 고딕"/>
        <family val="2"/>
      </rPr>
      <t>이번</t>
    </r>
    <r>
      <rPr>
        <sz val="9"/>
        <color theme="1"/>
        <rFont val="Calibri"/>
        <family val="2"/>
      </rPr>
      <t xml:space="preserve"> </t>
    </r>
    <r>
      <rPr>
        <sz val="9"/>
        <color theme="1"/>
        <rFont val="맑은 고딕"/>
        <family val="2"/>
      </rPr>
      <t>달</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</si>
  <si>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Week only</t>
  </si>
  <si>
    <r>
      <rPr>
        <sz val="9"/>
        <color theme="1"/>
        <rFont val="맑은 고딕"/>
        <family val="2"/>
      </rPr>
      <t>이번</t>
    </r>
    <r>
      <rPr>
        <sz val="9"/>
        <color theme="1"/>
        <rFont val="Calibri"/>
        <family val="2"/>
      </rPr>
      <t xml:space="preserve"> </t>
    </r>
    <r>
      <rPr>
        <sz val="9"/>
        <color theme="1"/>
        <rFont val="맑은 고딕"/>
        <family val="2"/>
      </rPr>
      <t>주</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</si>
  <si>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This XLGantt is not the latest version. Download the latest version from the following site.</t>
  </si>
  <si>
    <r>
      <rPr>
        <sz val="9"/>
        <color theme="1"/>
        <rFont val="맑은 고딕"/>
        <family val="2"/>
      </rPr>
      <t>지금</t>
    </r>
    <r>
      <rPr>
        <sz val="9"/>
        <color theme="1"/>
        <rFont val="Calibri"/>
        <family val="2"/>
      </rPr>
      <t xml:space="preserve"> </t>
    </r>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최신버전이</t>
    </r>
    <r>
      <rPr>
        <sz val="9"/>
        <color theme="1"/>
        <rFont val="Calibri"/>
        <family val="2"/>
      </rPr>
      <t xml:space="preserve"> </t>
    </r>
    <r>
      <rPr>
        <sz val="9"/>
        <color theme="1"/>
        <rFont val="맑은 고딕"/>
        <family val="2"/>
      </rPr>
      <t>아닙니다</t>
    </r>
    <r>
      <rPr>
        <sz val="9"/>
        <color theme="1"/>
        <rFont val="Calibri"/>
        <family val="2"/>
      </rPr>
      <t xml:space="preserve">.\n_x000D_
</t>
    </r>
    <r>
      <rPr>
        <sz val="9"/>
        <color theme="1"/>
        <rFont val="맑은 고딕"/>
        <family val="2"/>
      </rPr>
      <t>최신버전을</t>
    </r>
    <r>
      <rPr>
        <sz val="9"/>
        <color theme="1"/>
        <rFont val="Calibri"/>
        <family val="2"/>
      </rPr>
      <t xml:space="preserve"> </t>
    </r>
    <r>
      <rPr>
        <sz val="9"/>
        <color theme="1"/>
        <rFont val="맑은 고딕"/>
        <family val="2"/>
      </rPr>
      <t>아래의</t>
    </r>
    <r>
      <rPr>
        <sz val="9"/>
        <color theme="1"/>
        <rFont val="Calibri"/>
        <family val="2"/>
      </rPr>
      <t xml:space="preserve"> </t>
    </r>
    <r>
      <rPr>
        <sz val="9"/>
        <color theme="1"/>
        <rFont val="맑은 고딕"/>
        <family val="2"/>
      </rPr>
      <t>사이트에서</t>
    </r>
    <r>
      <rPr>
        <sz val="9"/>
        <color theme="1"/>
        <rFont val="Calibri"/>
        <family val="2"/>
      </rPr>
      <t xml:space="preserve"> </t>
    </r>
    <r>
      <rPr>
        <sz val="9"/>
        <color theme="1"/>
        <rFont val="맑은 고딕"/>
        <family val="2"/>
      </rPr>
      <t>다운로드</t>
    </r>
    <r>
      <rPr>
        <sz val="9"/>
        <color theme="1"/>
        <rFont val="Calibri"/>
        <family val="2"/>
      </rPr>
      <t xml:space="preserve"> </t>
    </r>
    <r>
      <rPr>
        <sz val="9"/>
        <color theme="1"/>
        <rFont val="맑은 고딕"/>
        <family val="2"/>
      </rPr>
      <t>받으세요</t>
    </r>
    <r>
      <rPr>
        <sz val="9"/>
        <color theme="1"/>
        <rFont val="Calibri"/>
        <family val="2"/>
      </rPr>
      <t>.</t>
    </r>
  </si>
  <si>
    <t>Thu</t>
  </si>
  <si>
    <r>
      <rPr>
        <sz val="9"/>
        <color theme="1"/>
        <rFont val="맑은 고딕"/>
        <family val="2"/>
      </rPr>
      <t>목</t>
    </r>
  </si>
  <si>
    <t>Time bucket type is invalid.</t>
  </si>
  <si>
    <r>
      <t xml:space="preserve">Time bucket type </t>
    </r>
    <r>
      <rPr>
        <sz val="9"/>
        <color theme="1"/>
        <rFont val="맑은 고딕"/>
        <family val="2"/>
      </rPr>
      <t>오류입니다</t>
    </r>
    <r>
      <rPr>
        <sz val="9"/>
        <color theme="1"/>
        <rFont val="Calibri"/>
        <family val="2"/>
      </rPr>
      <t>.</t>
    </r>
  </si>
  <si>
    <t>To (XLGantt)</t>
  </si>
  <si>
    <r>
      <t>Target</t>
    </r>
    <r>
      <rPr>
        <sz val="9"/>
        <color theme="1"/>
        <rFont val="맑은 고딕"/>
        <family val="2"/>
      </rPr>
      <t>파일</t>
    </r>
    <r>
      <rPr>
        <sz val="9"/>
        <color theme="1"/>
        <rFont val="Calibri"/>
        <family val="2"/>
      </rPr>
      <t>(</t>
    </r>
    <r>
      <rPr>
        <sz val="9"/>
        <color theme="1"/>
        <rFont val="맑은 고딕"/>
        <family val="2"/>
      </rPr>
      <t>가져온</t>
    </r>
    <r>
      <rPr>
        <sz val="9"/>
        <color theme="1"/>
        <rFont val="Calibri"/>
        <family val="2"/>
      </rPr>
      <t xml:space="preserve"> </t>
    </r>
    <r>
      <rPr>
        <sz val="9"/>
        <color theme="1"/>
        <rFont val="맑은 고딕"/>
        <family val="2"/>
      </rPr>
      <t>후</t>
    </r>
    <r>
      <rPr>
        <sz val="9"/>
        <color theme="1"/>
        <rFont val="Calibri"/>
        <family val="2"/>
      </rPr>
      <t xml:space="preserve"> </t>
    </r>
    <r>
      <rPr>
        <sz val="9"/>
        <color theme="1"/>
        <rFont val="맑은 고딕"/>
        <family val="2"/>
      </rPr>
      <t>파일</t>
    </r>
    <r>
      <rPr>
        <sz val="9"/>
        <color theme="1"/>
        <rFont val="Calibri"/>
        <family val="2"/>
      </rPr>
      <t>)</t>
    </r>
  </si>
  <si>
    <t>To Date is invalid.</t>
  </si>
  <si>
    <r>
      <rPr>
        <sz val="9"/>
        <color theme="1"/>
        <rFont val="맑은 고딕"/>
        <family val="2"/>
      </rPr>
      <t>끝날짜</t>
    </r>
    <r>
      <rPr>
        <sz val="9"/>
        <color theme="1"/>
        <rFont val="Calibri"/>
        <family val="2"/>
      </rPr>
      <t xml:space="preserve"> </t>
    </r>
    <r>
      <rPr>
        <sz val="9"/>
        <color theme="1"/>
        <rFont val="맑은 고딕"/>
        <family val="2"/>
      </rPr>
      <t>형식이</t>
    </r>
    <r>
      <rPr>
        <sz val="9"/>
        <color theme="1"/>
        <rFont val="Calibri"/>
        <family val="2"/>
      </rPr>
      <t xml:space="preserve"> </t>
    </r>
    <r>
      <rPr>
        <sz val="9"/>
        <color theme="1"/>
        <rFont val="맑은 고딕"/>
        <family val="2"/>
      </rPr>
      <t>잘못되었습니다</t>
    </r>
    <r>
      <rPr>
        <sz val="9"/>
        <color theme="1"/>
        <rFont val="Calibri"/>
        <family val="2"/>
      </rPr>
      <t>.</t>
    </r>
  </si>
  <si>
    <t>To import files from source to the target file, map the respective fields.\nSelect a field in source file first and then find a corresponding field in the target file.</t>
  </si>
  <si>
    <r>
      <t>Source</t>
    </r>
    <r>
      <rPr>
        <sz val="9"/>
        <color theme="1"/>
        <rFont val="맑은 고딕"/>
        <family val="2"/>
      </rPr>
      <t>파일에서</t>
    </r>
    <r>
      <rPr>
        <sz val="9"/>
        <color theme="1"/>
        <rFont val="Calibri"/>
        <family val="2"/>
      </rPr>
      <t xml:space="preserve"> Target</t>
    </r>
    <r>
      <rPr>
        <sz val="9"/>
        <color theme="1"/>
        <rFont val="맑은 고딕"/>
        <family val="2"/>
      </rPr>
      <t>파일로</t>
    </r>
    <r>
      <rPr>
        <sz val="9"/>
        <color theme="1"/>
        <rFont val="Calibri"/>
        <family val="2"/>
      </rPr>
      <t xml:space="preserve"> </t>
    </r>
    <r>
      <rPr>
        <sz val="9"/>
        <color theme="1"/>
        <rFont val="맑은 고딕"/>
        <family val="2"/>
      </rPr>
      <t>가져오기</t>
    </r>
    <r>
      <rPr>
        <sz val="9"/>
        <color theme="1"/>
        <rFont val="Calibri"/>
        <family val="2"/>
      </rPr>
      <t xml:space="preserve"> </t>
    </r>
    <r>
      <rPr>
        <sz val="9"/>
        <color theme="1"/>
        <rFont val="맑은 고딕"/>
        <family val="2"/>
      </rPr>
      <t>위해서</t>
    </r>
    <r>
      <rPr>
        <sz val="9"/>
        <color theme="1"/>
        <rFont val="Calibri"/>
        <family val="2"/>
      </rPr>
      <t xml:space="preserve"> </t>
    </r>
    <r>
      <rPr>
        <sz val="9"/>
        <color theme="1"/>
        <rFont val="맑은 고딕"/>
        <family val="2"/>
      </rPr>
      <t>각각의</t>
    </r>
    <r>
      <rPr>
        <sz val="9"/>
        <color theme="1"/>
        <rFont val="Calibri"/>
        <family val="2"/>
      </rPr>
      <t xml:space="preserve"> </t>
    </r>
    <r>
      <rPr>
        <sz val="9"/>
        <color theme="1"/>
        <rFont val="맑은 고딕"/>
        <family val="2"/>
      </rPr>
      <t>필드를</t>
    </r>
    <r>
      <rPr>
        <sz val="9"/>
        <color theme="1"/>
        <rFont val="Calibri"/>
        <family val="2"/>
      </rPr>
      <t xml:space="preserve"> Mapping</t>
    </r>
    <r>
      <rPr>
        <sz val="9"/>
        <color theme="1"/>
        <rFont val="맑은 고딕"/>
        <family val="2"/>
      </rPr>
      <t>합니다</t>
    </r>
    <r>
      <rPr>
        <sz val="9"/>
        <color theme="1"/>
        <rFont val="Calibri"/>
        <family val="2"/>
      </rPr>
      <t>. _x000D_
Source</t>
    </r>
    <r>
      <rPr>
        <sz val="9"/>
        <color theme="1"/>
        <rFont val="맑은 고딕"/>
        <family val="2"/>
      </rPr>
      <t>파일의</t>
    </r>
    <r>
      <rPr>
        <sz val="9"/>
        <color theme="1"/>
        <rFont val="Calibri"/>
        <family val="2"/>
      </rPr>
      <t xml:space="preserve"> </t>
    </r>
    <r>
      <rPr>
        <sz val="9"/>
        <color theme="1"/>
        <rFont val="맑은 고딕"/>
        <family val="2"/>
      </rPr>
      <t>필드를</t>
    </r>
    <r>
      <rPr>
        <sz val="9"/>
        <color theme="1"/>
        <rFont val="Calibri"/>
        <family val="2"/>
      </rPr>
      <t xml:space="preserve"> </t>
    </r>
    <r>
      <rPr>
        <sz val="9"/>
        <color theme="1"/>
        <rFont val="맑은 고딕"/>
        <family val="2"/>
      </rPr>
      <t>먼저</t>
    </r>
    <r>
      <rPr>
        <sz val="9"/>
        <color theme="1"/>
        <rFont val="Calibri"/>
        <family val="2"/>
      </rPr>
      <t xml:space="preserve"> </t>
    </r>
    <r>
      <rPr>
        <sz val="9"/>
        <color theme="1"/>
        <rFont val="맑은 고딕"/>
        <family val="2"/>
      </rPr>
      <t>선택하고</t>
    </r>
    <r>
      <rPr>
        <sz val="9"/>
        <color theme="1"/>
        <rFont val="Calibri"/>
        <family val="2"/>
      </rPr>
      <t xml:space="preserve"> </t>
    </r>
    <r>
      <rPr>
        <sz val="9"/>
        <color theme="1"/>
        <rFont val="맑은 고딕"/>
        <family val="2"/>
      </rPr>
      <t>해당되는</t>
    </r>
    <r>
      <rPr>
        <sz val="9"/>
        <color theme="1"/>
        <rFont val="Calibri"/>
        <family val="2"/>
      </rPr>
      <t xml:space="preserve"> </t>
    </r>
    <r>
      <rPr>
        <sz val="9"/>
        <color theme="1"/>
        <rFont val="맑은 고딕"/>
        <family val="2"/>
      </rPr>
      <t>필드를</t>
    </r>
    <r>
      <rPr>
        <sz val="9"/>
        <color theme="1"/>
        <rFont val="Calibri"/>
        <family val="2"/>
      </rPr>
      <t xml:space="preserve"> Targe</t>
    </r>
    <r>
      <rPr>
        <sz val="9"/>
        <color theme="1"/>
        <rFont val="맑은 고딕"/>
        <family val="2"/>
      </rPr>
      <t>파일에서</t>
    </r>
    <r>
      <rPr>
        <sz val="9"/>
        <color theme="1"/>
        <rFont val="Calibri"/>
        <family val="2"/>
      </rPr>
      <t xml:space="preserve"> </t>
    </r>
    <r>
      <rPr>
        <sz val="9"/>
        <color theme="1"/>
        <rFont val="맑은 고딕"/>
        <family val="2"/>
      </rPr>
      <t>찾아서</t>
    </r>
    <r>
      <rPr>
        <sz val="9"/>
        <color theme="1"/>
        <rFont val="Calibri"/>
        <family val="2"/>
      </rPr>
      <t xml:space="preserve"> Mapping</t>
    </r>
    <r>
      <rPr>
        <sz val="9"/>
        <color theme="1"/>
        <rFont val="맑은 고딕"/>
        <family val="2"/>
      </rPr>
      <t>합니다</t>
    </r>
    <r>
      <rPr>
        <sz val="9"/>
        <color theme="1"/>
        <rFont val="Calibri"/>
        <family val="2"/>
      </rPr>
      <t>.</t>
    </r>
  </si>
  <si>
    <t>Today</t>
  </si>
  <si>
    <r>
      <rPr>
        <sz val="9"/>
        <color theme="1"/>
        <rFont val="맑은 고딕"/>
        <family val="2"/>
      </rPr>
      <t>오늘</t>
    </r>
  </si>
  <si>
    <t>Today only</t>
  </si>
  <si>
    <r>
      <rPr>
        <sz val="9"/>
        <color theme="1"/>
        <rFont val="맑은 고딕"/>
        <family val="2"/>
      </rPr>
      <t>오늘</t>
    </r>
    <r>
      <rPr>
        <sz val="9"/>
        <color theme="1"/>
        <rFont val="Calibri"/>
        <family val="2"/>
      </rPr>
      <t xml:space="preserve"> </t>
    </r>
    <r>
      <rPr>
        <sz val="9"/>
        <color theme="1"/>
        <rFont val="맑은 고딕"/>
        <family val="2"/>
      </rPr>
      <t>작업만</t>
    </r>
    <r>
      <rPr>
        <sz val="9"/>
        <color theme="1"/>
        <rFont val="Calibri"/>
        <family val="2"/>
      </rPr>
      <t xml:space="preserve"> </t>
    </r>
    <r>
      <rPr>
        <sz val="9"/>
        <color theme="1"/>
        <rFont val="맑은 고딕"/>
        <family val="2"/>
      </rPr>
      <t>조회</t>
    </r>
  </si>
  <si>
    <t>Total Work(A)\nMan-day</t>
  </si>
  <si>
    <r>
      <rPr>
        <sz val="9"/>
        <color theme="1"/>
        <rFont val="맑은 고딕"/>
        <family val="2"/>
      </rPr>
      <t>총작업량</t>
    </r>
    <r>
      <rPr>
        <sz val="9"/>
        <color theme="1"/>
        <rFont val="Calibri"/>
        <family val="2"/>
      </rPr>
      <t>(A)\nMan-day</t>
    </r>
  </si>
  <si>
    <t>Total Work\n(Total ManDay)</t>
  </si>
  <si>
    <r>
      <rPr>
        <sz val="9"/>
        <color theme="1"/>
        <rFont val="맑은 고딕"/>
        <family val="2"/>
      </rPr>
      <t>총</t>
    </r>
    <r>
      <rPr>
        <sz val="9"/>
        <color theme="1"/>
        <rFont val="Calibri"/>
        <family val="2"/>
      </rPr>
      <t xml:space="preserve"> </t>
    </r>
    <r>
      <rPr>
        <sz val="9"/>
        <color theme="1"/>
        <rFont val="맑은 고딕"/>
        <family val="2"/>
      </rPr>
      <t xml:space="preserve">작업량_x000D_
</t>
    </r>
    <r>
      <rPr>
        <sz val="9"/>
        <color theme="1"/>
        <rFont val="Calibri"/>
        <family val="2"/>
      </rPr>
      <t>(</t>
    </r>
    <r>
      <rPr>
        <sz val="9"/>
        <color theme="1"/>
        <rFont val="맑은 고딕"/>
        <family val="2"/>
      </rPr>
      <t>총</t>
    </r>
    <r>
      <rPr>
        <sz val="9"/>
        <color theme="1"/>
        <rFont val="Calibri"/>
        <family val="2"/>
      </rPr>
      <t xml:space="preserve">ManDay,_x000D_
</t>
    </r>
    <r>
      <rPr>
        <sz val="9"/>
        <color theme="1"/>
        <rFont val="맑은 고딕"/>
        <family val="2"/>
      </rPr>
      <t>가중치</t>
    </r>
    <r>
      <rPr>
        <sz val="9"/>
        <color theme="1"/>
        <rFont val="Calibri"/>
        <family val="2"/>
      </rPr>
      <t xml:space="preserve"> </t>
    </r>
    <r>
      <rPr>
        <sz val="9"/>
        <color theme="1"/>
        <rFont val="맑은 고딕"/>
        <family val="2"/>
      </rPr>
      <t>감안</t>
    </r>
    <r>
      <rPr>
        <sz val="9"/>
        <color theme="1"/>
        <rFont val="Calibri"/>
        <family val="2"/>
      </rPr>
      <t>)</t>
    </r>
  </si>
  <si>
    <t>Total workload of the project</t>
  </si>
  <si>
    <r>
      <rPr>
        <sz val="9"/>
        <color theme="1"/>
        <rFont val="맑은 고딕"/>
        <family val="2"/>
      </rPr>
      <t>프로젝트</t>
    </r>
    <r>
      <rPr>
        <sz val="9"/>
        <color theme="1"/>
        <rFont val="Calibri"/>
        <family val="2"/>
      </rPr>
      <t xml:space="preserve"> </t>
    </r>
    <r>
      <rPr>
        <sz val="9"/>
        <color theme="1"/>
        <rFont val="맑은 고딕"/>
        <family val="2"/>
      </rPr>
      <t>전체</t>
    </r>
    <r>
      <rPr>
        <sz val="9"/>
        <color theme="1"/>
        <rFont val="Calibri"/>
        <family val="2"/>
      </rPr>
      <t xml:space="preserve"> </t>
    </r>
    <r>
      <rPr>
        <sz val="9"/>
        <color theme="1"/>
        <rFont val="맑은 고딕"/>
        <family val="2"/>
      </rPr>
      <t>작업량</t>
    </r>
  </si>
  <si>
    <t>Total__Duration</t>
    <phoneticPr fontId="8" type="noConversion"/>
  </si>
  <si>
    <r>
      <rPr>
        <sz val="9"/>
        <color theme="1"/>
        <rFont val="돋움"/>
        <family val="3"/>
        <charset val="129"/>
      </rPr>
      <t>총</t>
    </r>
    <r>
      <rPr>
        <sz val="9"/>
        <color theme="1"/>
        <rFont val="Calibri"/>
        <family val="2"/>
      </rPr>
      <t>__</t>
    </r>
    <r>
      <rPr>
        <sz val="9"/>
        <color theme="1"/>
        <rFont val="돋움"/>
        <family val="3"/>
        <charset val="129"/>
      </rPr>
      <t>기간</t>
    </r>
    <phoneticPr fontId="8" type="noConversion"/>
  </si>
  <si>
    <t>Total__Work</t>
    <phoneticPr fontId="8" type="noConversion"/>
  </si>
  <si>
    <r>
      <rPr>
        <sz val="9"/>
        <color theme="1"/>
        <rFont val="돋움"/>
        <family val="3"/>
        <charset val="129"/>
      </rPr>
      <t>총</t>
    </r>
    <r>
      <rPr>
        <sz val="9"/>
        <color theme="1"/>
        <rFont val="Calibri"/>
        <family val="2"/>
      </rPr>
      <t>__</t>
    </r>
    <r>
      <rPr>
        <sz val="9"/>
        <color theme="1"/>
        <rFont val="돋움"/>
        <family val="3"/>
        <charset val="129"/>
      </rPr>
      <t>작업량</t>
    </r>
    <phoneticPr fontId="8" type="noConversion"/>
  </si>
  <si>
    <t>Total\nDuration</t>
  </si>
  <si>
    <r>
      <t>총</t>
    </r>
    <r>
      <rPr>
        <sz val="10"/>
        <color theme="1"/>
        <rFont val="Calibri"/>
        <family val="2"/>
      </rPr>
      <t>\n</t>
    </r>
    <r>
      <rPr>
        <sz val="10"/>
        <color theme="1"/>
        <rFont val="돋움"/>
        <family val="3"/>
        <charset val="129"/>
      </rPr>
      <t>기간</t>
    </r>
  </si>
  <si>
    <t>Total\nWork</t>
  </si>
  <si>
    <r>
      <rPr>
        <sz val="9"/>
        <color theme="1"/>
        <rFont val="맑은 고딕"/>
        <family val="2"/>
      </rPr>
      <t>총</t>
    </r>
    <r>
      <rPr>
        <sz val="9"/>
        <color theme="1"/>
        <rFont val="Calibri"/>
        <family val="2"/>
      </rPr>
      <t>\n</t>
    </r>
    <r>
      <rPr>
        <sz val="9"/>
        <color theme="1"/>
        <rFont val="맑은 고딕"/>
        <family val="2"/>
      </rPr>
      <t>작업량</t>
    </r>
  </si>
  <si>
    <t>Tue</t>
  </si>
  <si>
    <r>
      <rPr>
        <sz val="9"/>
        <color theme="1"/>
        <rFont val="맑은 고딕"/>
        <family val="2"/>
      </rPr>
      <t>화</t>
    </r>
  </si>
  <si>
    <t>Type a number between 0% and 100% in "%Work Complete" field of row number {1} in the {2} sheet.</t>
  </si>
  <si>
    <r>
      <t>{2} sheet</t>
    </r>
    <r>
      <rPr>
        <sz val="9"/>
        <color theme="1"/>
        <rFont val="맑은 고딕"/>
        <family val="2"/>
      </rPr>
      <t>의</t>
    </r>
    <r>
      <rPr>
        <sz val="9"/>
        <color theme="1"/>
        <rFont val="Calibri"/>
        <family val="2"/>
      </rPr>
      <t xml:space="preserve"> {1}</t>
    </r>
    <r>
      <rPr>
        <sz val="9"/>
        <color theme="1"/>
        <rFont val="맑은 고딕"/>
        <family val="2"/>
      </rPr>
      <t>행의</t>
    </r>
    <r>
      <rPr>
        <sz val="9"/>
        <color theme="1"/>
        <rFont val="Calibri"/>
        <family val="2"/>
      </rPr>
      <t xml:space="preserve"> </t>
    </r>
    <r>
      <rPr>
        <sz val="9"/>
        <color theme="1"/>
        <rFont val="맑은 고딕"/>
        <family val="2"/>
      </rPr>
      <t>실적진척율을</t>
    </r>
    <r>
      <rPr>
        <sz val="9"/>
        <color theme="1"/>
        <rFont val="Calibri"/>
        <family val="2"/>
      </rPr>
      <t xml:space="preserve"> 0~100% </t>
    </r>
    <r>
      <rPr>
        <sz val="9"/>
        <color theme="1"/>
        <rFont val="맑은 고딕"/>
        <family val="2"/>
      </rPr>
      <t>범위로</t>
    </r>
    <r>
      <rPr>
        <sz val="9"/>
        <color theme="1"/>
        <rFont val="Calibri"/>
        <family val="2"/>
      </rPr>
      <t xml:space="preserve"> </t>
    </r>
    <r>
      <rPr>
        <sz val="9"/>
        <color theme="1"/>
        <rFont val="맑은 고딕"/>
        <family val="2"/>
      </rPr>
      <t>입력해주세요</t>
    </r>
    <r>
      <rPr>
        <sz val="9"/>
        <color theme="1"/>
        <rFont val="Calibri"/>
        <family val="2"/>
      </rPr>
      <t>.</t>
    </r>
  </si>
  <si>
    <t>UI Design</t>
  </si>
  <si>
    <r>
      <rPr>
        <sz val="9"/>
        <color theme="1"/>
        <rFont val="맑은 고딕"/>
        <family val="2"/>
      </rPr>
      <t>화면설계</t>
    </r>
  </si>
  <si>
    <t>Unable to open file. Please change the "Check if you save deliverables in specific directory" option to the checked state in the Setting&gt;Deliverables tab.</t>
  </si>
  <si>
    <r>
      <rPr>
        <sz val="9"/>
        <color theme="1"/>
        <rFont val="맑은 고딕"/>
        <family val="2"/>
      </rPr>
      <t>파일을</t>
    </r>
    <r>
      <rPr>
        <sz val="9"/>
        <color theme="1"/>
        <rFont val="Calibri"/>
        <family val="2"/>
      </rPr>
      <t xml:space="preserve"> </t>
    </r>
    <r>
      <rPr>
        <sz val="9"/>
        <color theme="1"/>
        <rFont val="맑은 고딕"/>
        <family val="2"/>
      </rPr>
      <t>열수</t>
    </r>
    <r>
      <rPr>
        <sz val="9"/>
        <color theme="1"/>
        <rFont val="Calibri"/>
        <family val="2"/>
      </rPr>
      <t xml:space="preserve"> </t>
    </r>
    <r>
      <rPr>
        <sz val="9"/>
        <color theme="1"/>
        <rFont val="맑은 고딕"/>
        <family val="2"/>
      </rPr>
      <t>없습니다</t>
    </r>
    <r>
      <rPr>
        <sz val="9"/>
        <color theme="1"/>
        <rFont val="Calibri"/>
        <family val="2"/>
      </rPr>
      <t xml:space="preserve">. </t>
    </r>
    <r>
      <rPr>
        <sz val="9"/>
        <color theme="1"/>
        <rFont val="맑은 고딕"/>
        <family val="2"/>
      </rPr>
      <t>환경설정</t>
    </r>
    <r>
      <rPr>
        <sz val="9"/>
        <color theme="1"/>
        <rFont val="Calibri"/>
        <family val="2"/>
      </rPr>
      <t>&gt;</t>
    </r>
    <r>
      <rPr>
        <sz val="9"/>
        <color theme="1"/>
        <rFont val="맑은 고딕"/>
        <family val="2"/>
      </rPr>
      <t>산출물관리</t>
    </r>
    <r>
      <rPr>
        <sz val="9"/>
        <color theme="1"/>
        <rFont val="Calibri"/>
        <family val="2"/>
      </rPr>
      <t xml:space="preserve"> </t>
    </r>
    <r>
      <rPr>
        <sz val="9"/>
        <color theme="1"/>
        <rFont val="맑은 고딕"/>
        <family val="2"/>
      </rPr>
      <t>탭에서</t>
    </r>
    <r>
      <rPr>
        <sz val="9"/>
        <color theme="1"/>
        <rFont val="Calibri"/>
        <family val="2"/>
      </rPr>
      <t xml:space="preserve"> "</t>
    </r>
    <r>
      <rPr>
        <sz val="9"/>
        <color theme="1"/>
        <rFont val="맑은 고딕"/>
        <family val="2"/>
      </rPr>
      <t>산출물</t>
    </r>
    <r>
      <rPr>
        <sz val="9"/>
        <color theme="1"/>
        <rFont val="Calibri"/>
        <family val="2"/>
      </rPr>
      <t xml:space="preserve"> </t>
    </r>
    <r>
      <rPr>
        <sz val="9"/>
        <color theme="1"/>
        <rFont val="맑은 고딕"/>
        <family val="2"/>
      </rPr>
      <t>관리를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경우에</t>
    </r>
    <r>
      <rPr>
        <sz val="9"/>
        <color theme="1"/>
        <rFont val="Calibri"/>
        <family val="2"/>
      </rPr>
      <t xml:space="preserve"> </t>
    </r>
    <r>
      <rPr>
        <sz val="9"/>
        <color theme="1"/>
        <rFont val="맑은 고딕"/>
        <family val="2"/>
      </rPr>
      <t>체크하세요</t>
    </r>
    <r>
      <rPr>
        <sz val="9"/>
        <color theme="1"/>
        <rFont val="Calibri"/>
        <family val="2"/>
      </rPr>
      <t xml:space="preserve">" </t>
    </r>
    <r>
      <rPr>
        <sz val="9"/>
        <color theme="1"/>
        <rFont val="맑은 고딕"/>
        <family val="2"/>
      </rPr>
      <t>옵션을</t>
    </r>
    <r>
      <rPr>
        <sz val="9"/>
        <color theme="1"/>
        <rFont val="Calibri"/>
        <family val="2"/>
      </rPr>
      <t xml:space="preserve"> </t>
    </r>
    <r>
      <rPr>
        <sz val="9"/>
        <color theme="1"/>
        <rFont val="맑은 고딕"/>
        <family val="2"/>
      </rPr>
      <t>체크상태로</t>
    </r>
    <r>
      <rPr>
        <sz val="9"/>
        <color theme="1"/>
        <rFont val="Calibri"/>
        <family val="2"/>
      </rPr>
      <t xml:space="preserve"> </t>
    </r>
    <r>
      <rPr>
        <sz val="9"/>
        <color theme="1"/>
        <rFont val="맑은 고딕"/>
        <family val="2"/>
      </rPr>
      <t>변경해</t>
    </r>
    <r>
      <rPr>
        <sz val="9"/>
        <color theme="1"/>
        <rFont val="Calibri"/>
        <family val="2"/>
      </rPr>
      <t xml:space="preserve"> </t>
    </r>
    <r>
      <rPr>
        <sz val="9"/>
        <color theme="1"/>
        <rFont val="맑은 고딕"/>
        <family val="2"/>
      </rPr>
      <t>주세요</t>
    </r>
    <r>
      <rPr>
        <sz val="9"/>
        <color theme="1"/>
        <rFont val="Calibri"/>
        <family val="2"/>
      </rPr>
      <t>.</t>
    </r>
  </si>
  <si>
    <t>Update Schedule</t>
  </si>
  <si>
    <r>
      <rPr>
        <sz val="9"/>
        <color theme="1"/>
        <rFont val="맑은 고딕"/>
        <family val="2"/>
      </rPr>
      <t>스케줄업데이트</t>
    </r>
  </si>
  <si>
    <t>Updates</t>
  </si>
  <si>
    <r>
      <rPr>
        <sz val="9"/>
        <color theme="1"/>
        <rFont val="맑은 고딕"/>
        <family val="2"/>
      </rPr>
      <t>업데이트</t>
    </r>
    <r>
      <rPr>
        <sz val="9"/>
        <color theme="1"/>
        <rFont val="Calibri"/>
        <family val="2"/>
      </rPr>
      <t xml:space="preserve"> </t>
    </r>
    <r>
      <rPr>
        <sz val="9"/>
        <color theme="1"/>
        <rFont val="맑은 고딕"/>
        <family val="2"/>
      </rPr>
      <t>내용</t>
    </r>
  </si>
  <si>
    <t>Updating schedule... \nplease wait...</t>
  </si>
  <si>
    <r>
      <rPr>
        <sz val="9"/>
        <color theme="1"/>
        <rFont val="맑은 고딕"/>
        <family val="2"/>
      </rPr>
      <t>스케줄업데이트</t>
    </r>
    <r>
      <rPr>
        <sz val="9"/>
        <color theme="1"/>
        <rFont val="Calibri"/>
        <family val="2"/>
      </rPr>
      <t xml:space="preserve"> </t>
    </r>
    <r>
      <rPr>
        <sz val="9"/>
        <color theme="1"/>
        <rFont val="맑은 고딕"/>
        <family val="2"/>
      </rPr>
      <t>중입니다</t>
    </r>
    <r>
      <rPr>
        <sz val="9"/>
        <color theme="1"/>
        <rFont val="Calibri"/>
        <family val="2"/>
      </rPr>
      <t>...\n</t>
    </r>
    <r>
      <rPr>
        <sz val="9"/>
        <color theme="1"/>
        <rFont val="맑은 고딕"/>
        <family val="2"/>
      </rPr>
      <t>잠시만</t>
    </r>
    <r>
      <rPr>
        <sz val="9"/>
        <color theme="1"/>
        <rFont val="Calibri"/>
        <family val="2"/>
      </rPr>
      <t xml:space="preserve"> </t>
    </r>
    <r>
      <rPr>
        <sz val="9"/>
        <color theme="1"/>
        <rFont val="맑은 고딕"/>
        <family val="2"/>
      </rPr>
      <t>기다려</t>
    </r>
    <r>
      <rPr>
        <sz val="9"/>
        <color theme="1"/>
        <rFont val="Calibri"/>
        <family val="2"/>
      </rPr>
      <t xml:space="preserve"> </t>
    </r>
    <r>
      <rPr>
        <sz val="9"/>
        <color theme="1"/>
        <rFont val="맑은 고딕"/>
        <family val="2"/>
      </rPr>
      <t>주세요</t>
    </r>
    <r>
      <rPr>
        <sz val="9"/>
        <color theme="1"/>
        <rFont val="Calibri"/>
        <family val="2"/>
      </rPr>
      <t>...</t>
    </r>
  </si>
  <si>
    <t>User Defined Calendar 1</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</si>
  <si>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1</t>
    </r>
  </si>
  <si>
    <t>User Defined Calendar 2</t>
  </si>
  <si>
    <r>
      <rPr>
        <sz val="9"/>
        <color theme="1"/>
        <rFont val="맑은 고딕"/>
        <family val="2"/>
      </rPr>
      <t>사용자정의</t>
    </r>
    <r>
      <rPr>
        <sz val="9"/>
        <color theme="1"/>
        <rFont val="Calibri"/>
        <family val="2"/>
      </rPr>
      <t xml:space="preserve"> </t>
    </r>
    <r>
      <rPr>
        <sz val="9"/>
        <color theme="1"/>
        <rFont val="맑은 고딕"/>
        <family val="2"/>
      </rPr>
      <t>캘린더</t>
    </r>
    <r>
      <rPr>
        <sz val="9"/>
        <color theme="1"/>
        <rFont val="Calibri"/>
        <family val="2"/>
      </rPr>
      <t>2</t>
    </r>
  </si>
  <si>
    <t>Variance(Actual-Planned)</t>
  </si>
  <si>
    <r>
      <rPr>
        <sz val="9"/>
        <color theme="1"/>
        <rFont val="맑은 고딕"/>
        <family val="2"/>
      </rPr>
      <t>차이</t>
    </r>
    <r>
      <rPr>
        <sz val="9"/>
        <color theme="1"/>
        <rFont val="Calibri"/>
        <family val="2"/>
      </rPr>
      <t>(</t>
    </r>
    <r>
      <rPr>
        <sz val="9"/>
        <color theme="1"/>
        <rFont val="맑은 고딕"/>
        <family val="2"/>
      </rPr>
      <t>실적</t>
    </r>
    <r>
      <rPr>
        <sz val="9"/>
        <color theme="1"/>
        <rFont val="Calibri"/>
        <family val="2"/>
      </rPr>
      <t>-</t>
    </r>
    <r>
      <rPr>
        <sz val="9"/>
        <color theme="1"/>
        <rFont val="맑은 고딕"/>
        <family val="2"/>
      </rPr>
      <t>계획</t>
    </r>
    <r>
      <rPr>
        <sz val="9"/>
        <color theme="1"/>
        <rFont val="Calibri"/>
        <family val="2"/>
      </rPr>
      <t>)</t>
    </r>
  </si>
  <si>
    <t>WBS</t>
  </si>
  <si>
    <t>WBS Area Display</t>
  </si>
  <si>
    <r>
      <t>WBS</t>
    </r>
    <r>
      <rPr>
        <sz val="9"/>
        <color theme="1"/>
        <rFont val="맑은 고딕"/>
        <family val="2"/>
      </rPr>
      <t>영역</t>
    </r>
    <r>
      <rPr>
        <sz val="9"/>
        <color theme="1"/>
        <rFont val="Calibri"/>
        <family val="2"/>
      </rPr>
      <t xml:space="preserve"> </t>
    </r>
    <r>
      <rPr>
        <sz val="9"/>
        <color theme="1"/>
        <rFont val="맑은 고딕"/>
        <family val="2"/>
      </rPr>
      <t>표시방법</t>
    </r>
  </si>
  <si>
    <t>WBS Level is invalid. Enter a number only. Verify row {} of the source file.</t>
  </si>
  <si>
    <r>
      <t>WBS Level(</t>
    </r>
    <r>
      <rPr>
        <sz val="9"/>
        <color theme="1"/>
        <rFont val="맑은 고딕"/>
        <family val="2"/>
      </rPr>
      <t>개요번호</t>
    </r>
    <r>
      <rPr>
        <sz val="9"/>
        <color theme="1"/>
        <rFont val="Calibri"/>
        <family val="2"/>
      </rPr>
      <t>)</t>
    </r>
    <r>
      <rPr>
        <sz val="9"/>
        <color theme="1"/>
        <rFont val="맑은 고딕"/>
        <family val="2"/>
      </rPr>
      <t>에</t>
    </r>
    <r>
      <rPr>
        <sz val="9"/>
        <color theme="1"/>
        <rFont val="Calibri"/>
        <family val="2"/>
      </rPr>
      <t xml:space="preserve"> </t>
    </r>
    <r>
      <rPr>
        <sz val="9"/>
        <color theme="1"/>
        <rFont val="맑은 고딕"/>
        <family val="2"/>
      </rPr>
      <t>숫자가</t>
    </r>
    <r>
      <rPr>
        <sz val="9"/>
        <color theme="1"/>
        <rFont val="Calibri"/>
        <family val="2"/>
      </rPr>
      <t xml:space="preserve"> </t>
    </r>
    <r>
      <rPr>
        <sz val="9"/>
        <color theme="1"/>
        <rFont val="맑은 고딕"/>
        <family val="2"/>
      </rPr>
      <t>아닌</t>
    </r>
    <r>
      <rPr>
        <sz val="9"/>
        <color theme="1"/>
        <rFont val="Calibri"/>
        <family val="2"/>
      </rPr>
      <t xml:space="preserve"> </t>
    </r>
    <r>
      <rPr>
        <sz val="9"/>
        <color theme="1"/>
        <rFont val="맑은 고딕"/>
        <family val="2"/>
      </rPr>
      <t>값이</t>
    </r>
    <r>
      <rPr>
        <sz val="9"/>
        <color theme="1"/>
        <rFont val="Calibri"/>
        <family val="2"/>
      </rPr>
      <t xml:space="preserve"> </t>
    </r>
    <r>
      <rPr>
        <sz val="9"/>
        <color theme="1"/>
        <rFont val="맑은 고딕"/>
        <family val="2"/>
      </rPr>
      <t>포함되어</t>
    </r>
    <r>
      <rPr>
        <sz val="9"/>
        <color theme="1"/>
        <rFont val="Calibri"/>
        <family val="2"/>
      </rPr>
      <t xml:space="preserve"> </t>
    </r>
    <r>
      <rPr>
        <sz val="9"/>
        <color theme="1"/>
        <rFont val="맑은 고딕"/>
        <family val="2"/>
      </rPr>
      <t>있습니다</t>
    </r>
    <r>
      <rPr>
        <sz val="9"/>
        <color theme="1"/>
        <rFont val="Calibri"/>
        <family val="2"/>
      </rPr>
      <t>. Import</t>
    </r>
    <r>
      <rPr>
        <sz val="9"/>
        <color theme="1"/>
        <rFont val="맑은 고딕"/>
        <family val="2"/>
      </rPr>
      <t>하는</t>
    </r>
    <r>
      <rPr>
        <sz val="9"/>
        <color theme="1"/>
        <rFont val="Calibri"/>
        <family val="2"/>
      </rPr>
      <t xml:space="preserve"> </t>
    </r>
    <r>
      <rPr>
        <sz val="9"/>
        <color theme="1"/>
        <rFont val="맑은 고딕"/>
        <family val="2"/>
      </rPr>
      <t>파일의</t>
    </r>
    <r>
      <rPr>
        <sz val="9"/>
        <color theme="1"/>
        <rFont val="Calibri"/>
        <family val="2"/>
      </rPr>
      <t xml:space="preserve"> {}</t>
    </r>
    <r>
      <rPr>
        <sz val="9"/>
        <color theme="1"/>
        <rFont val="맑은 고딕"/>
        <family val="2"/>
      </rPr>
      <t>행을</t>
    </r>
    <r>
      <rPr>
        <sz val="9"/>
        <color theme="1"/>
        <rFont val="Calibri"/>
        <family val="2"/>
      </rPr>
      <t xml:space="preserve"> </t>
    </r>
    <r>
      <rPr>
        <sz val="9"/>
        <color theme="1"/>
        <rFont val="맑은 고딕"/>
        <family val="2"/>
      </rPr>
      <t>확인하세요</t>
    </r>
    <r>
      <rPr>
        <sz val="9"/>
        <color theme="1"/>
        <rFont val="Calibri"/>
        <family val="2"/>
      </rPr>
      <t>.</t>
    </r>
  </si>
  <si>
    <t>WBS No.</t>
  </si>
  <si>
    <t>WBS,Gantt Chart</t>
  </si>
  <si>
    <t>Wed</t>
  </si>
  <si>
    <r>
      <rPr>
        <sz val="9"/>
        <color theme="1"/>
        <rFont val="맑은 고딕"/>
        <family val="2"/>
      </rPr>
      <t>수</t>
    </r>
  </si>
  <si>
    <t>Weekly</t>
  </si>
  <si>
    <r>
      <rPr>
        <sz val="9"/>
        <color theme="1"/>
        <rFont val="맑은 고딕"/>
        <family val="2"/>
      </rPr>
      <t>주별</t>
    </r>
  </si>
  <si>
    <t>Weekly view</t>
  </si>
  <si>
    <r>
      <rPr>
        <sz val="9"/>
        <color theme="1"/>
        <rFont val="맑은 고딕"/>
        <family val="2"/>
      </rPr>
      <t>주별보기</t>
    </r>
  </si>
  <si>
    <t>Weeks</t>
  </si>
  <si>
    <t>Weight</t>
  </si>
  <si>
    <r>
      <rPr>
        <sz val="9"/>
        <color theme="1"/>
        <rFont val="맑은 고딕"/>
        <family val="2"/>
      </rPr>
      <t>가중치</t>
    </r>
  </si>
  <si>
    <t>Weight is invalid.</t>
  </si>
  <si>
    <r>
      <rPr>
        <sz val="9"/>
        <color theme="1"/>
        <rFont val="맑은 고딕"/>
        <family val="2"/>
      </rPr>
      <t>가중치의</t>
    </r>
    <r>
      <rPr>
        <sz val="9"/>
        <color theme="1"/>
        <rFont val="Calibri"/>
        <family val="2"/>
      </rPr>
      <t xml:space="preserve"> </t>
    </r>
    <r>
      <rPr>
        <sz val="9"/>
        <color theme="1"/>
        <rFont val="맑은 고딕"/>
        <family val="2"/>
      </rPr>
      <t>숫자형식이</t>
    </r>
    <r>
      <rPr>
        <sz val="9"/>
        <color theme="1"/>
        <rFont val="Calibri"/>
        <family val="2"/>
      </rPr>
      <t xml:space="preserve"> </t>
    </r>
    <r>
      <rPr>
        <sz val="9"/>
        <color theme="1"/>
        <rFont val="맑은 고딕"/>
        <family val="2"/>
      </rPr>
      <t>잘못되었습니다</t>
    </r>
    <r>
      <rPr>
        <sz val="9"/>
        <color theme="1"/>
        <rFont val="Calibri"/>
        <family val="2"/>
      </rPr>
      <t>.</t>
    </r>
  </si>
  <si>
    <t>Weight must be greater than zero.</t>
  </si>
  <si>
    <r>
      <rPr>
        <sz val="9"/>
        <color theme="1"/>
        <rFont val="맑은 고딕"/>
        <family val="2"/>
      </rPr>
      <t>가중치는</t>
    </r>
    <r>
      <rPr>
        <sz val="9"/>
        <color theme="1"/>
        <rFont val="Calibri"/>
        <family val="2"/>
      </rPr>
      <t xml:space="preserve"> 0</t>
    </r>
    <r>
      <rPr>
        <sz val="9"/>
        <color theme="1"/>
        <rFont val="맑은 고딕"/>
        <family val="2"/>
      </rPr>
      <t>보다</t>
    </r>
    <r>
      <rPr>
        <sz val="9"/>
        <color theme="1"/>
        <rFont val="Calibri"/>
        <family val="2"/>
      </rPr>
      <t xml:space="preserve"> </t>
    </r>
    <r>
      <rPr>
        <sz val="9"/>
        <color theme="1"/>
        <rFont val="맑은 고딕"/>
        <family val="2"/>
      </rPr>
      <t>커야</t>
    </r>
    <r>
      <rPr>
        <sz val="9"/>
        <color theme="1"/>
        <rFont val="Calibri"/>
        <family val="2"/>
      </rPr>
      <t xml:space="preserve"> </t>
    </r>
    <r>
      <rPr>
        <sz val="9"/>
        <color theme="1"/>
        <rFont val="맑은 고딕"/>
        <family val="2"/>
      </rPr>
      <t>합니다</t>
    </r>
    <r>
      <rPr>
        <sz val="9"/>
        <color theme="1"/>
        <rFont val="Calibri"/>
        <family val="2"/>
      </rPr>
      <t>.</t>
    </r>
  </si>
  <si>
    <t>Word</t>
  </si>
  <si>
    <r>
      <rPr>
        <sz val="9"/>
        <color theme="1"/>
        <rFont val="맑은 고딕"/>
        <family val="2"/>
      </rPr>
      <t>워드</t>
    </r>
  </si>
  <si>
    <t>Workload\n(Man-Day)</t>
  </si>
  <si>
    <t>Workload\n(Man-Month)</t>
  </si>
  <si>
    <t>Workloads by {}</t>
  </si>
  <si>
    <r>
      <t>Workload</t>
    </r>
    <r>
      <rPr>
        <sz val="9"/>
        <color theme="1"/>
        <rFont val="맑은 고딕"/>
        <family val="2"/>
      </rPr>
      <t>현황</t>
    </r>
    <r>
      <rPr>
        <sz val="9"/>
        <color theme="1"/>
        <rFont val="Calibri"/>
        <family val="2"/>
      </rPr>
      <t>({})</t>
    </r>
  </si>
  <si>
    <t>Workloads by Months</t>
  </si>
  <si>
    <r>
      <t>Workload(</t>
    </r>
    <r>
      <rPr>
        <sz val="9"/>
        <color theme="1"/>
        <rFont val="맑은 고딕"/>
        <family val="2"/>
      </rPr>
      <t>월별</t>
    </r>
    <r>
      <rPr>
        <sz val="9"/>
        <color theme="1"/>
        <rFont val="Calibri"/>
        <family val="2"/>
      </rPr>
      <t>)</t>
    </r>
  </si>
  <si>
    <t>Workloads by Resouces</t>
  </si>
  <si>
    <r>
      <t>Workload(</t>
    </r>
    <r>
      <rPr>
        <sz val="9"/>
        <color theme="1"/>
        <rFont val="맑은 고딕"/>
        <family val="2"/>
      </rPr>
      <t>담당별</t>
    </r>
    <r>
      <rPr>
        <sz val="9"/>
        <color theme="1"/>
        <rFont val="Calibri"/>
        <family val="2"/>
      </rPr>
      <t>)</t>
    </r>
  </si>
  <si>
    <t>Workloads by Weeks</t>
  </si>
  <si>
    <r>
      <t>Workload(</t>
    </r>
    <r>
      <rPr>
        <sz val="9"/>
        <color theme="1"/>
        <rFont val="맑은 고딕"/>
        <family val="2"/>
      </rPr>
      <t>주별</t>
    </r>
    <r>
      <rPr>
        <sz val="9"/>
        <color theme="1"/>
        <rFont val="Calibri"/>
        <family val="2"/>
      </rPr>
      <t>)</t>
    </r>
  </si>
  <si>
    <t>Worloads by Resources</t>
  </si>
  <si>
    <t>Would you like to update the schedule before saving?</t>
    <phoneticPr fontId="8"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</si>
  <si>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8" type="noConversion"/>
  </si>
  <si>
    <t>XLGantt Version Check</t>
  </si>
  <si>
    <t>You are using the latest version of XLGantt.\nCurrent Verison : {}</t>
  </si>
  <si>
    <r>
      <rPr>
        <sz val="9"/>
        <color theme="1"/>
        <rFont val="맑은 고딕"/>
        <family val="2"/>
      </rPr>
      <t>사용하고</t>
    </r>
    <r>
      <rPr>
        <sz val="9"/>
        <color theme="1"/>
        <rFont val="Calibri"/>
        <family val="2"/>
      </rPr>
      <t xml:space="preserve"> </t>
    </r>
    <r>
      <rPr>
        <sz val="9"/>
        <color theme="1"/>
        <rFont val="맑은 고딕"/>
        <family val="2"/>
      </rPr>
      <t>계신</t>
    </r>
    <r>
      <rPr>
        <sz val="9"/>
        <color theme="1"/>
        <rFont val="Calibri"/>
        <family val="2"/>
      </rPr>
      <t xml:space="preserve"> XLGantt</t>
    </r>
    <r>
      <rPr>
        <sz val="9"/>
        <color theme="1"/>
        <rFont val="맑은 고딕"/>
        <family val="2"/>
      </rPr>
      <t>는</t>
    </r>
    <r>
      <rPr>
        <sz val="9"/>
        <color theme="1"/>
        <rFont val="Calibri"/>
        <family val="2"/>
      </rPr>
      <t xml:space="preserve"> </t>
    </r>
    <r>
      <rPr>
        <sz val="9"/>
        <color theme="1"/>
        <rFont val="맑은 고딕"/>
        <family val="2"/>
      </rPr>
      <t>최신</t>
    </r>
    <r>
      <rPr>
        <sz val="9"/>
        <color theme="1"/>
        <rFont val="Calibri"/>
        <family val="2"/>
      </rPr>
      <t xml:space="preserve"> </t>
    </r>
    <r>
      <rPr>
        <sz val="9"/>
        <color theme="1"/>
        <rFont val="맑은 고딕"/>
        <family val="2"/>
      </rPr>
      <t>버전입니다</t>
    </r>
    <r>
      <rPr>
        <sz val="9"/>
        <color theme="1"/>
        <rFont val="Calibri"/>
        <family val="2"/>
      </rPr>
      <t>.\n</t>
    </r>
    <r>
      <rPr>
        <sz val="9"/>
        <color theme="1"/>
        <rFont val="맑은 고딕"/>
        <family val="2"/>
      </rPr>
      <t>현재</t>
    </r>
    <r>
      <rPr>
        <sz val="9"/>
        <color theme="1"/>
        <rFont val="Calibri"/>
        <family val="2"/>
      </rPr>
      <t xml:space="preserve"> </t>
    </r>
    <r>
      <rPr>
        <sz val="9"/>
        <color theme="1"/>
        <rFont val="맑은 고딕"/>
        <family val="2"/>
      </rPr>
      <t>버전</t>
    </r>
    <r>
      <rPr>
        <sz val="9"/>
        <color theme="1"/>
        <rFont val="Calibri"/>
        <family val="2"/>
      </rPr>
      <t xml:space="preserve"> : {}</t>
    </r>
  </si>
  <si>
    <t>You can add "Outlook Appointments" only on the {} sheet.</t>
  </si>
  <si>
    <r>
      <t>{} Sheet</t>
    </r>
    <r>
      <rPr>
        <sz val="9"/>
        <color theme="1"/>
        <rFont val="맑은 고딕"/>
        <family val="2"/>
      </rPr>
      <t>에서만</t>
    </r>
    <r>
      <rPr>
        <sz val="9"/>
        <color theme="1"/>
        <rFont val="Calibri"/>
        <family val="2"/>
      </rPr>
      <t xml:space="preserve"> Outlook</t>
    </r>
    <r>
      <rPr>
        <sz val="9"/>
        <color theme="1"/>
        <rFont val="맑은 고딕"/>
        <family val="2"/>
      </rPr>
      <t>일정을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</si>
  <si>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add "Outlook Tasks" only on the {} sheet.</t>
  </si>
  <si>
    <r>
      <t>{} Sheet</t>
    </r>
    <r>
      <rPr>
        <sz val="9"/>
        <color theme="1"/>
        <rFont val="맑은 고딕"/>
        <family val="2"/>
      </rPr>
      <t>에서만</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</si>
  <si>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edit task only on the {} sheet.</t>
  </si>
  <si>
    <r>
      <t>{} Sheet</t>
    </r>
    <r>
      <rPr>
        <sz val="9"/>
        <color theme="1"/>
        <rFont val="맑은 고딕"/>
        <family val="2"/>
      </rPr>
      <t>에서만</t>
    </r>
    <r>
      <rPr>
        <sz val="9"/>
        <color theme="1"/>
        <rFont val="Calibri"/>
        <family val="2"/>
      </rPr>
      <t xml:space="preserve"> </t>
    </r>
    <r>
      <rPr>
        <sz val="9"/>
        <color theme="1"/>
        <rFont val="맑은 고딕"/>
        <family val="2"/>
      </rPr>
      <t>작업을</t>
    </r>
    <r>
      <rPr>
        <sz val="9"/>
        <color theme="1"/>
        <rFont val="Calibri"/>
        <family val="2"/>
      </rPr>
      <t xml:space="preserve"> </t>
    </r>
    <r>
      <rPr>
        <sz val="9"/>
        <color theme="1"/>
        <rFont val="맑은 고딕"/>
        <family val="2"/>
      </rPr>
      <t>편집할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t>
    </r>
  </si>
  <si>
    <t>You can indent or outdent tasks only on the {} sheet.</t>
  </si>
  <si>
    <r>
      <t>{} Sheet</t>
    </r>
    <r>
      <rPr>
        <sz val="9"/>
        <color theme="1"/>
        <rFont val="맑은 고딕"/>
        <family val="2"/>
      </rPr>
      <t>에서만</t>
    </r>
    <r>
      <rPr>
        <sz val="9"/>
        <color theme="1"/>
        <rFont val="Calibri"/>
        <family val="2"/>
      </rPr>
      <t xml:space="preserve"> </t>
    </r>
    <r>
      <rPr>
        <sz val="9"/>
        <color theme="1"/>
        <rFont val="맑은 고딕"/>
        <family val="2"/>
      </rPr>
      <t>작업가능합니다</t>
    </r>
    <r>
      <rPr>
        <sz val="9"/>
        <color theme="1"/>
        <rFont val="Calibri"/>
        <family val="2"/>
      </rPr>
      <t>.</t>
    </r>
  </si>
  <si>
    <t>You can not add "Outlook Appointments"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</si>
  <si>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작업할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</si>
  <si>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"Outlook Tasks" in the selected area.</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</si>
  <si>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Outlook</t>
    </r>
    <r>
      <rPr>
        <sz val="9"/>
        <color theme="1"/>
        <rFont val="맑은 고딕"/>
        <family val="2"/>
      </rPr>
      <t>작업을</t>
    </r>
    <r>
      <rPr>
        <sz val="9"/>
        <color theme="1"/>
        <rFont val="Calibri"/>
        <family val="2"/>
      </rPr>
      <t xml:space="preserve"> </t>
    </r>
    <r>
      <rPr>
        <sz val="9"/>
        <color theme="1"/>
        <rFont val="맑은 고딕"/>
        <family val="2"/>
      </rPr>
      <t>등록할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</si>
  <si>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add a column between column A and C because the range is reserved by XLGantt.</t>
  </si>
  <si>
    <r>
      <t>A</t>
    </r>
    <r>
      <rPr>
        <sz val="9"/>
        <color theme="1"/>
        <rFont val="맑은 고딕"/>
        <family val="2"/>
      </rPr>
      <t>열부터</t>
    </r>
    <r>
      <rPr>
        <sz val="9"/>
        <color theme="1"/>
        <rFont val="Calibri"/>
        <family val="2"/>
      </rPr>
      <t xml:space="preserve"> C</t>
    </r>
    <r>
      <rPr>
        <sz val="9"/>
        <color theme="1"/>
        <rFont val="맑은 고딕"/>
        <family val="2"/>
      </rPr>
      <t>열까지는</t>
    </r>
    <r>
      <rPr>
        <sz val="9"/>
        <color theme="1"/>
        <rFont val="Calibri"/>
        <family val="2"/>
      </rPr>
      <t xml:space="preserve"> XLGantt</t>
    </r>
    <r>
      <rPr>
        <sz val="9"/>
        <color theme="1"/>
        <rFont val="맑은 고딕"/>
        <family val="2"/>
      </rPr>
      <t>프로그램에서</t>
    </r>
    <r>
      <rPr>
        <sz val="9"/>
        <color theme="1"/>
        <rFont val="Calibri"/>
        <family val="2"/>
      </rPr>
      <t xml:space="preserve"> </t>
    </r>
    <r>
      <rPr>
        <sz val="9"/>
        <color theme="1"/>
        <rFont val="맑은 고딕"/>
        <family val="2"/>
      </rPr>
      <t>사용하는</t>
    </r>
    <r>
      <rPr>
        <sz val="9"/>
        <color theme="1"/>
        <rFont val="Calibri"/>
        <family val="2"/>
      </rPr>
      <t xml:space="preserve"> </t>
    </r>
    <r>
      <rPr>
        <sz val="9"/>
        <color theme="1"/>
        <rFont val="맑은 고딕"/>
        <family val="2"/>
      </rPr>
      <t>영역이므로</t>
    </r>
    <r>
      <rPr>
        <sz val="9"/>
        <color theme="1"/>
        <rFont val="Calibri"/>
        <family val="2"/>
      </rPr>
      <t xml:space="preserve"> </t>
    </r>
    <r>
      <rPr>
        <sz val="9"/>
        <color theme="1"/>
        <rFont val="맑은 고딕"/>
        <family val="2"/>
      </rPr>
      <t>임의로</t>
    </r>
    <r>
      <rPr>
        <sz val="9"/>
        <color theme="1"/>
        <rFont val="Calibri"/>
        <family val="2"/>
      </rPr>
      <t xml:space="preserve"> </t>
    </r>
    <r>
      <rPr>
        <sz val="9"/>
        <color theme="1"/>
        <rFont val="맑은 고딕"/>
        <family val="2"/>
      </rPr>
      <t>열을</t>
    </r>
    <r>
      <rPr>
        <sz val="9"/>
        <color theme="1"/>
        <rFont val="Calibri"/>
        <family val="2"/>
      </rPr>
      <t xml:space="preserve"> </t>
    </r>
    <r>
      <rPr>
        <sz val="9"/>
        <color theme="1"/>
        <rFont val="맑은 고딕"/>
        <family val="2"/>
      </rPr>
      <t>추가할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</si>
  <si>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edit a task in the selected area.</t>
  </si>
  <si>
    <t>You can not enter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</si>
  <si>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입력불가</t>
    </r>
  </si>
  <si>
    <t>You can not indent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</si>
  <si>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오른쪽으로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</si>
  <si>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indent or outdent the selected row.</t>
  </si>
  <si>
    <r>
      <rPr>
        <sz val="9"/>
        <color theme="1"/>
        <rFont val="맑은 고딕"/>
        <family val="2"/>
      </rPr>
      <t>선택한</t>
    </r>
    <r>
      <rPr>
        <sz val="9"/>
        <color theme="1"/>
        <rFont val="Calibri"/>
        <family val="2"/>
      </rPr>
      <t xml:space="preserve"> </t>
    </r>
    <r>
      <rPr>
        <sz val="9"/>
        <color theme="1"/>
        <rFont val="맑은 고딕"/>
        <family val="2"/>
      </rPr>
      <t>위치에서는</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</si>
  <si>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outdent any more!</t>
  </si>
  <si>
    <r>
      <rPr>
        <sz val="9"/>
        <color theme="1"/>
        <rFont val="맑은 고딕"/>
        <family val="2"/>
      </rPr>
      <t>더</t>
    </r>
    <r>
      <rPr>
        <sz val="9"/>
        <color theme="1"/>
        <rFont val="Calibri"/>
        <family val="2"/>
      </rPr>
      <t xml:space="preserve"> </t>
    </r>
    <r>
      <rPr>
        <sz val="9"/>
        <color theme="1"/>
        <rFont val="맑은 고딕"/>
        <family val="2"/>
      </rPr>
      <t>이상</t>
    </r>
    <r>
      <rPr>
        <sz val="9"/>
        <color theme="1"/>
        <rFont val="Calibri"/>
        <family val="2"/>
      </rPr>
      <t xml:space="preserve"> </t>
    </r>
    <r>
      <rPr>
        <sz val="9"/>
        <color theme="1"/>
        <rFont val="맑은 고딕"/>
        <family val="2"/>
      </rPr>
      <t>왼쪽으로</t>
    </r>
    <r>
      <rPr>
        <sz val="9"/>
        <color theme="1"/>
        <rFont val="Calibri"/>
        <family val="2"/>
      </rPr>
      <t xml:space="preserve"> </t>
    </r>
    <r>
      <rPr>
        <sz val="9"/>
        <color theme="1"/>
        <rFont val="맑은 고딕"/>
        <family val="2"/>
      </rPr>
      <t>이동할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</si>
  <si>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 not use "Microsoft Outlook". \nMake sure you properly installed it.</t>
  </si>
  <si>
    <r>
      <t>Microsoft Outlook</t>
    </r>
    <r>
      <rPr>
        <sz val="9"/>
        <color theme="1"/>
        <rFont val="맑은 고딕"/>
        <family val="2"/>
      </rPr>
      <t>을</t>
    </r>
    <r>
      <rPr>
        <sz val="9"/>
        <color theme="1"/>
        <rFont val="Calibri"/>
        <family val="2"/>
      </rPr>
      <t xml:space="preserve"> </t>
    </r>
    <r>
      <rPr>
        <sz val="9"/>
        <color theme="1"/>
        <rFont val="맑은 고딕"/>
        <family val="2"/>
      </rPr>
      <t>사용할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.\n</t>
    </r>
    <r>
      <rPr>
        <sz val="9"/>
        <color theme="1"/>
        <rFont val="맑은 고딕"/>
        <family val="2"/>
      </rPr>
      <t>정상적으로</t>
    </r>
    <r>
      <rPr>
        <sz val="9"/>
        <color theme="1"/>
        <rFont val="Calibri"/>
        <family val="2"/>
      </rPr>
      <t xml:space="preserve"> </t>
    </r>
    <r>
      <rPr>
        <sz val="9"/>
        <color theme="1"/>
        <rFont val="맑은 고딕"/>
        <family val="2"/>
      </rPr>
      <t>설치되어</t>
    </r>
    <r>
      <rPr>
        <sz val="9"/>
        <color theme="1"/>
        <rFont val="Calibri"/>
        <family val="2"/>
      </rPr>
      <t xml:space="preserve"> </t>
    </r>
    <r>
      <rPr>
        <sz val="9"/>
        <color theme="1"/>
        <rFont val="맑은 고딕"/>
        <family val="2"/>
      </rPr>
      <t>있는지</t>
    </r>
    <r>
      <rPr>
        <sz val="9"/>
        <color theme="1"/>
        <rFont val="Calibri"/>
        <family val="2"/>
      </rPr>
      <t xml:space="preserve"> </t>
    </r>
    <r>
      <rPr>
        <sz val="9"/>
        <color theme="1"/>
        <rFont val="맑은 고딕"/>
        <family val="2"/>
      </rPr>
      <t>확인하세요</t>
    </r>
    <r>
      <rPr>
        <sz val="9"/>
        <color theme="1"/>
        <rFont val="Calibri"/>
        <family val="2"/>
      </rPr>
      <t>.</t>
    </r>
  </si>
  <si>
    <t>You can open deliverables only on the {} Sheet.</t>
  </si>
  <si>
    <t>You can use only start and finish dates. So you can not manage schedule changes.</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</si>
  <si>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완료일만</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변경된</t>
    </r>
    <r>
      <rPr>
        <sz val="9"/>
        <color theme="1"/>
        <rFont val="Calibri"/>
        <family val="2"/>
      </rPr>
      <t xml:space="preserve"> </t>
    </r>
    <r>
      <rPr>
        <sz val="9"/>
        <color theme="1"/>
        <rFont val="맑은 고딕"/>
        <family val="2"/>
      </rPr>
      <t>일정은</t>
    </r>
    <r>
      <rPr>
        <sz val="9"/>
        <color theme="1"/>
        <rFont val="Calibri"/>
        <family val="2"/>
      </rPr>
      <t xml:space="preserve"> </t>
    </r>
    <r>
      <rPr>
        <sz val="9"/>
        <color theme="1"/>
        <rFont val="맑은 고딕"/>
        <family val="2"/>
      </rPr>
      <t>관리하지</t>
    </r>
    <r>
      <rPr>
        <sz val="9"/>
        <color theme="1"/>
        <rFont val="Calibri"/>
        <family val="2"/>
      </rPr>
      <t xml:space="preserve"> </t>
    </r>
    <r>
      <rPr>
        <sz val="9"/>
        <color theme="1"/>
        <rFont val="맑은 고딕"/>
        <family val="2"/>
      </rPr>
      <t>않습니다</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변경되었을</t>
    </r>
    <r>
      <rPr>
        <sz val="9"/>
        <color theme="1"/>
        <rFont val="Calibri"/>
        <family val="2"/>
      </rPr>
      <t xml:space="preserve"> </t>
    </r>
    <r>
      <rPr>
        <sz val="9"/>
        <color theme="1"/>
        <rFont val="맑은 고딕"/>
        <family val="2"/>
      </rPr>
      <t>때는</t>
    </r>
    <r>
      <rPr>
        <sz val="9"/>
        <color theme="1"/>
        <rFont val="Calibri"/>
        <family val="2"/>
      </rPr>
      <t xml:space="preserve"> </t>
    </r>
    <r>
      <rPr>
        <sz val="9"/>
        <color theme="1"/>
        <rFont val="맑은 고딕"/>
        <family val="2"/>
      </rPr>
      <t>시작일과</t>
    </r>
    <r>
      <rPr>
        <sz val="9"/>
        <color theme="1"/>
        <rFont val="Calibri"/>
        <family val="2"/>
      </rPr>
      <t xml:space="preserve"> </t>
    </r>
    <r>
      <rPr>
        <sz val="9"/>
        <color theme="1"/>
        <rFont val="맑은 고딕"/>
        <family val="2"/>
      </rPr>
      <t>완료일을</t>
    </r>
    <r>
      <rPr>
        <sz val="9"/>
        <color theme="1"/>
        <rFont val="Calibri"/>
        <family val="2"/>
      </rPr>
      <t xml:space="preserve"> </t>
    </r>
    <r>
      <rPr>
        <sz val="9"/>
        <color theme="1"/>
        <rFont val="맑은 고딕"/>
        <family val="2"/>
      </rPr>
      <t>변경합니다</t>
    </r>
    <r>
      <rPr>
        <sz val="9"/>
        <color theme="1"/>
        <rFont val="Calibri"/>
        <family val="2"/>
      </rPr>
      <t xml:space="preserve">.  </t>
    </r>
  </si>
  <si>
    <t xml:space="preserve">You can use start and finish dates, actual start and finish dates. You can identify the schedule is delayed or aheaded by entering actual start and finish dates. </t>
  </si>
  <si>
    <r>
      <rPr>
        <sz val="9"/>
        <color theme="1"/>
        <rFont val="맑은 고딕"/>
        <family val="2"/>
      </rPr>
      <t>일정을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때</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시작일</t>
    </r>
    <r>
      <rPr>
        <sz val="9"/>
        <color theme="1"/>
        <rFont val="Calibri"/>
        <family val="2"/>
      </rPr>
      <t>/</t>
    </r>
    <r>
      <rPr>
        <sz val="9"/>
        <color theme="1"/>
        <rFont val="맑은 고딕"/>
        <family val="2"/>
      </rPr>
      <t>완료일</t>
    </r>
    <r>
      <rPr>
        <sz val="9"/>
        <color theme="1"/>
        <rFont val="Calibri"/>
        <family val="2"/>
      </rPr>
      <t xml:space="preserve">, </t>
    </r>
    <r>
      <rPr>
        <sz val="9"/>
        <color theme="1"/>
        <rFont val="맑은 고딕"/>
        <family val="2"/>
      </rPr>
      <t>실제시작일</t>
    </r>
    <r>
      <rPr>
        <sz val="9"/>
        <color theme="1"/>
        <rFont val="Calibri"/>
        <family val="2"/>
      </rPr>
      <t>/</t>
    </r>
    <r>
      <rPr>
        <sz val="9"/>
        <color theme="1"/>
        <rFont val="맑은 고딕"/>
        <family val="2"/>
      </rPr>
      <t>실제완료일을</t>
    </r>
    <r>
      <rPr>
        <sz val="9"/>
        <color theme="1"/>
        <rFont val="Calibri"/>
        <family val="2"/>
      </rPr>
      <t xml:space="preserve"> </t>
    </r>
    <r>
      <rPr>
        <sz val="9"/>
        <color theme="1"/>
        <rFont val="맑은 고딕"/>
        <family val="2"/>
      </rPr>
      <t>사용합니다</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시작된</t>
    </r>
    <r>
      <rPr>
        <sz val="9"/>
        <color theme="1"/>
        <rFont val="Calibri"/>
        <family val="2"/>
      </rPr>
      <t xml:space="preserve"> </t>
    </r>
    <r>
      <rPr>
        <sz val="9"/>
        <color theme="1"/>
        <rFont val="맑은 고딕"/>
        <family val="2"/>
      </rPr>
      <t>날짜와</t>
    </r>
    <r>
      <rPr>
        <sz val="9"/>
        <color theme="1"/>
        <rFont val="Calibri"/>
        <family val="2"/>
      </rPr>
      <t xml:space="preserve"> </t>
    </r>
    <r>
      <rPr>
        <sz val="9"/>
        <color theme="1"/>
        <rFont val="맑은 고딕"/>
        <family val="2"/>
      </rPr>
      <t>실제</t>
    </r>
    <r>
      <rPr>
        <sz val="9"/>
        <color theme="1"/>
        <rFont val="Calibri"/>
        <family val="2"/>
      </rPr>
      <t xml:space="preserve"> </t>
    </r>
    <r>
      <rPr>
        <sz val="9"/>
        <color theme="1"/>
        <rFont val="맑은 고딕"/>
        <family val="2"/>
      </rPr>
      <t>완료된</t>
    </r>
    <r>
      <rPr>
        <sz val="9"/>
        <color theme="1"/>
        <rFont val="Calibri"/>
        <family val="2"/>
      </rPr>
      <t xml:space="preserve"> </t>
    </r>
    <r>
      <rPr>
        <sz val="9"/>
        <color theme="1"/>
        <rFont val="맑은 고딕"/>
        <family val="2"/>
      </rPr>
      <t>날짜를</t>
    </r>
    <r>
      <rPr>
        <sz val="9"/>
        <color theme="1"/>
        <rFont val="Calibri"/>
        <family val="2"/>
      </rPr>
      <t xml:space="preserve"> </t>
    </r>
    <r>
      <rPr>
        <sz val="9"/>
        <color theme="1"/>
        <rFont val="맑은 고딕"/>
        <family val="2"/>
      </rPr>
      <t>입력하여</t>
    </r>
    <r>
      <rPr>
        <sz val="9"/>
        <color theme="1"/>
        <rFont val="Calibri"/>
        <family val="2"/>
      </rPr>
      <t xml:space="preserve"> </t>
    </r>
    <r>
      <rPr>
        <sz val="9"/>
        <color theme="1"/>
        <rFont val="맑은 고딕"/>
        <family val="2"/>
      </rPr>
      <t>일정이</t>
    </r>
    <r>
      <rPr>
        <sz val="9"/>
        <color theme="1"/>
        <rFont val="Calibri"/>
        <family val="2"/>
      </rPr>
      <t xml:space="preserve"> </t>
    </r>
    <r>
      <rPr>
        <sz val="9"/>
        <color theme="1"/>
        <rFont val="맑은 고딕"/>
        <family val="2"/>
      </rPr>
      <t>지연되었거나</t>
    </r>
    <r>
      <rPr>
        <sz val="9"/>
        <color theme="1"/>
        <rFont val="Calibri"/>
        <family val="2"/>
      </rPr>
      <t xml:space="preserve"> </t>
    </r>
    <r>
      <rPr>
        <sz val="9"/>
        <color theme="1"/>
        <rFont val="맑은 고딕"/>
        <family val="2"/>
      </rPr>
      <t>빨리</t>
    </r>
    <r>
      <rPr>
        <sz val="9"/>
        <color theme="1"/>
        <rFont val="Calibri"/>
        <family val="2"/>
      </rPr>
      <t xml:space="preserve"> </t>
    </r>
    <r>
      <rPr>
        <sz val="9"/>
        <color theme="1"/>
        <rFont val="맑은 고딕"/>
        <family val="2"/>
      </rPr>
      <t>진행된</t>
    </r>
    <r>
      <rPr>
        <sz val="9"/>
        <color theme="1"/>
        <rFont val="Calibri"/>
        <family val="2"/>
      </rPr>
      <t xml:space="preserve"> </t>
    </r>
    <r>
      <rPr>
        <sz val="9"/>
        <color theme="1"/>
        <rFont val="맑은 고딕"/>
        <family val="2"/>
      </rPr>
      <t>것을</t>
    </r>
    <r>
      <rPr>
        <sz val="9"/>
        <color theme="1"/>
        <rFont val="Calibri"/>
        <family val="2"/>
      </rPr>
      <t xml:space="preserve"> </t>
    </r>
    <r>
      <rPr>
        <sz val="9"/>
        <color theme="1"/>
        <rFont val="맑은 고딕"/>
        <family val="2"/>
      </rPr>
      <t>관리할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있습니다</t>
    </r>
    <r>
      <rPr>
        <sz val="9"/>
        <color theme="1"/>
        <rFont val="Calibri"/>
        <family val="2"/>
      </rPr>
      <t xml:space="preserve">.  </t>
    </r>
  </si>
  <si>
    <t>You can't choose a field that is empty.</t>
  </si>
  <si>
    <r>
      <rPr>
        <sz val="9"/>
        <color theme="1"/>
        <rFont val="맑은 고딕"/>
        <family val="2"/>
      </rPr>
      <t>필드명이</t>
    </r>
    <r>
      <rPr>
        <sz val="9"/>
        <color theme="1"/>
        <rFont val="Calibri"/>
        <family val="2"/>
      </rPr>
      <t xml:space="preserve"> </t>
    </r>
    <r>
      <rPr>
        <sz val="9"/>
        <color theme="1"/>
        <rFont val="맑은 고딕"/>
        <family val="2"/>
      </rPr>
      <t>비어있는</t>
    </r>
    <r>
      <rPr>
        <sz val="9"/>
        <color theme="1"/>
        <rFont val="Calibri"/>
        <family val="2"/>
      </rPr>
      <t xml:space="preserve"> </t>
    </r>
    <r>
      <rPr>
        <sz val="9"/>
        <color theme="1"/>
        <rFont val="맑은 고딕"/>
        <family val="2"/>
      </rPr>
      <t>항목은</t>
    </r>
    <r>
      <rPr>
        <sz val="9"/>
        <color theme="1"/>
        <rFont val="Calibri"/>
        <family val="2"/>
      </rPr>
      <t xml:space="preserve"> </t>
    </r>
    <r>
      <rPr>
        <sz val="9"/>
        <color theme="1"/>
        <rFont val="맑은 고딕"/>
        <family val="2"/>
      </rPr>
      <t>선택할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</si>
  <si>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can't import an Excel Macro file. Please import after saving it as an xls or xlsx file. If it is an XLGantt file, you can import it at the menu "Import files created in XLGantt"</t>
  </si>
  <si>
    <r>
      <rPr>
        <sz val="9"/>
        <color theme="1"/>
        <rFont val="맑은 고딕"/>
        <family val="2"/>
      </rPr>
      <t>엑셀매크로</t>
    </r>
    <r>
      <rPr>
        <sz val="9"/>
        <color theme="1"/>
        <rFont val="Calibri"/>
        <family val="2"/>
      </rPr>
      <t xml:space="preserve"> </t>
    </r>
    <r>
      <rPr>
        <sz val="9"/>
        <color theme="1"/>
        <rFont val="맑은 고딕"/>
        <family val="2"/>
      </rPr>
      <t>파일은</t>
    </r>
    <r>
      <rPr>
        <sz val="9"/>
        <color theme="1"/>
        <rFont val="Calibri"/>
        <family val="2"/>
      </rPr>
      <t xml:space="preserve"> </t>
    </r>
    <r>
      <rPr>
        <sz val="9"/>
        <color theme="1"/>
        <rFont val="맑은 고딕"/>
        <family val="2"/>
      </rPr>
      <t>가져오기를</t>
    </r>
    <r>
      <rPr>
        <sz val="9"/>
        <color theme="1"/>
        <rFont val="Calibri"/>
        <family val="2"/>
      </rPr>
      <t xml:space="preserve"> </t>
    </r>
    <r>
      <rPr>
        <sz val="9"/>
        <color theme="1"/>
        <rFont val="맑은 고딕"/>
        <family val="2"/>
      </rPr>
      <t>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 xml:space="preserve">. xls </t>
    </r>
    <r>
      <rPr>
        <sz val="9"/>
        <color theme="1"/>
        <rFont val="맑은 고딕"/>
        <family val="2"/>
      </rPr>
      <t>또는</t>
    </r>
    <r>
      <rPr>
        <sz val="9"/>
        <color theme="1"/>
        <rFont val="Calibri"/>
        <family val="2"/>
      </rPr>
      <t xml:space="preserve"> xlsx</t>
    </r>
    <r>
      <rPr>
        <sz val="9"/>
        <color theme="1"/>
        <rFont val="맑은 고딕"/>
        <family val="2"/>
      </rPr>
      <t>파일로</t>
    </r>
    <r>
      <rPr>
        <sz val="9"/>
        <color theme="1"/>
        <rFont val="Calibri"/>
        <family val="2"/>
      </rPr>
      <t xml:space="preserve"> </t>
    </r>
    <r>
      <rPr>
        <sz val="9"/>
        <color theme="1"/>
        <rFont val="맑은 고딕"/>
        <family val="2"/>
      </rPr>
      <t>저장하여</t>
    </r>
    <r>
      <rPr>
        <sz val="9"/>
        <color theme="1"/>
        <rFont val="Calibri"/>
        <family val="2"/>
      </rPr>
      <t xml:space="preserve"> </t>
    </r>
    <r>
      <rPr>
        <sz val="9"/>
        <color theme="1"/>
        <rFont val="맑은 고딕"/>
        <family val="2"/>
      </rPr>
      <t>작업하시기</t>
    </r>
    <r>
      <rPr>
        <sz val="9"/>
        <color theme="1"/>
        <rFont val="Calibri"/>
        <family val="2"/>
      </rPr>
      <t xml:space="preserve"> </t>
    </r>
    <r>
      <rPr>
        <sz val="9"/>
        <color theme="1"/>
        <rFont val="맑은 고딕"/>
        <family val="2"/>
      </rPr>
      <t>바랍니다</t>
    </r>
    <r>
      <rPr>
        <sz val="9"/>
        <color theme="1"/>
        <rFont val="Calibri"/>
        <family val="2"/>
      </rPr>
      <t xml:space="preserve">. </t>
    </r>
    <r>
      <rPr>
        <sz val="9"/>
        <color theme="1"/>
        <rFont val="맑은 고딕"/>
        <family val="2"/>
      </rPr>
      <t>만약</t>
    </r>
    <r>
      <rPr>
        <sz val="9"/>
        <color theme="1"/>
        <rFont val="Calibri"/>
        <family val="2"/>
      </rPr>
      <t xml:space="preserve"> XLGantt</t>
    </r>
    <r>
      <rPr>
        <sz val="9"/>
        <color theme="1"/>
        <rFont val="맑은 고딕"/>
        <family val="2"/>
      </rPr>
      <t>파일인</t>
    </r>
    <r>
      <rPr>
        <sz val="9"/>
        <color theme="1"/>
        <rFont val="Calibri"/>
        <family val="2"/>
      </rPr>
      <t xml:space="preserve"> </t>
    </r>
    <r>
      <rPr>
        <sz val="9"/>
        <color theme="1"/>
        <rFont val="맑은 고딕"/>
        <family val="2"/>
      </rPr>
      <t>경우에는</t>
    </r>
    <r>
      <rPr>
        <sz val="9"/>
        <color theme="1"/>
        <rFont val="Calibri"/>
        <family val="2"/>
      </rPr>
      <t xml:space="preserve"> "XLGantt</t>
    </r>
    <r>
      <rPr>
        <sz val="9"/>
        <color theme="1"/>
        <rFont val="맑은 고딕"/>
        <family val="2"/>
      </rPr>
      <t>로</t>
    </r>
    <r>
      <rPr>
        <sz val="9"/>
        <color theme="1"/>
        <rFont val="Calibri"/>
        <family val="2"/>
      </rPr>
      <t xml:space="preserve"> </t>
    </r>
    <r>
      <rPr>
        <sz val="9"/>
        <color theme="1"/>
        <rFont val="맑은 고딕"/>
        <family val="2"/>
      </rPr>
      <t>작성된</t>
    </r>
    <r>
      <rPr>
        <sz val="9"/>
        <color theme="1"/>
        <rFont val="Calibri"/>
        <family val="2"/>
      </rPr>
      <t xml:space="preserve"> </t>
    </r>
    <r>
      <rPr>
        <sz val="9"/>
        <color theme="1"/>
        <rFont val="맑은 고딕"/>
        <family val="2"/>
      </rPr>
      <t>파일</t>
    </r>
    <r>
      <rPr>
        <sz val="9"/>
        <color theme="1"/>
        <rFont val="Calibri"/>
        <family val="2"/>
      </rPr>
      <t xml:space="preserve"> </t>
    </r>
    <r>
      <rPr>
        <sz val="9"/>
        <color theme="1"/>
        <rFont val="맑은 고딕"/>
        <family val="2"/>
      </rPr>
      <t>가져오기</t>
    </r>
    <r>
      <rPr>
        <sz val="9"/>
        <color theme="1"/>
        <rFont val="Calibri"/>
        <family val="2"/>
      </rPr>
      <t>"</t>
    </r>
    <r>
      <rPr>
        <sz val="9"/>
        <color theme="1"/>
        <rFont val="맑은 고딕"/>
        <family val="2"/>
      </rPr>
      <t>에서</t>
    </r>
    <r>
      <rPr>
        <sz val="9"/>
        <color theme="1"/>
        <rFont val="Calibri"/>
        <family val="2"/>
      </rPr>
      <t xml:space="preserve"> </t>
    </r>
    <r>
      <rPr>
        <sz val="9"/>
        <color theme="1"/>
        <rFont val="맑은 고딕"/>
        <family val="2"/>
      </rPr>
      <t>작업</t>
    </r>
    <r>
      <rPr>
        <sz val="9"/>
        <color theme="1"/>
        <rFont val="Calibri"/>
        <family val="2"/>
      </rPr>
      <t xml:space="preserve"> </t>
    </r>
    <r>
      <rPr>
        <sz val="9"/>
        <color theme="1"/>
        <rFont val="맑은 고딕"/>
        <family val="2"/>
      </rPr>
      <t>가능합니다</t>
    </r>
  </si>
  <si>
    <t>You can't remove the default languages(English and Korean).</t>
  </si>
  <si>
    <r>
      <rPr>
        <sz val="9"/>
        <color theme="1"/>
        <rFont val="맑은 고딕"/>
        <family val="2"/>
      </rPr>
      <t>기본언어인</t>
    </r>
    <r>
      <rPr>
        <sz val="9"/>
        <color theme="1"/>
        <rFont val="Calibri"/>
        <family val="2"/>
      </rPr>
      <t xml:space="preserve"> English</t>
    </r>
    <r>
      <rPr>
        <sz val="9"/>
        <color theme="1"/>
        <rFont val="맑은 고딕"/>
        <family val="2"/>
      </rPr>
      <t>와</t>
    </r>
    <r>
      <rPr>
        <sz val="9"/>
        <color theme="1"/>
        <rFont val="Calibri"/>
        <family val="2"/>
      </rPr>
      <t xml:space="preserve"> Korean</t>
    </r>
    <r>
      <rPr>
        <sz val="9"/>
        <color theme="1"/>
        <rFont val="맑은 고딕"/>
        <family val="2"/>
      </rPr>
      <t>은</t>
    </r>
    <r>
      <rPr>
        <sz val="9"/>
        <color theme="1"/>
        <rFont val="Calibri"/>
        <family val="2"/>
      </rPr>
      <t xml:space="preserve"> </t>
    </r>
    <r>
      <rPr>
        <sz val="9"/>
        <color theme="1"/>
        <rFont val="맑은 고딕"/>
        <family val="2"/>
      </rPr>
      <t>삭제할</t>
    </r>
    <r>
      <rPr>
        <sz val="9"/>
        <color theme="1"/>
        <rFont val="Calibri"/>
        <family val="2"/>
      </rPr>
      <t xml:space="preserve"> </t>
    </r>
    <r>
      <rPr>
        <sz val="9"/>
        <color theme="1"/>
        <rFont val="맑은 고딕"/>
        <family val="2"/>
      </rPr>
      <t>수</t>
    </r>
    <r>
      <rPr>
        <sz val="9"/>
        <color theme="1"/>
        <rFont val="Calibri"/>
        <family val="2"/>
      </rPr>
      <t xml:space="preserve"> </t>
    </r>
    <r>
      <rPr>
        <sz val="9"/>
        <color theme="1"/>
        <rFont val="맑은 고딕"/>
        <family val="2"/>
      </rPr>
      <t>없습니다</t>
    </r>
    <r>
      <rPr>
        <sz val="9"/>
        <color theme="1"/>
        <rFont val="Calibri"/>
        <family val="2"/>
      </rPr>
      <t>.</t>
    </r>
  </si>
  <si>
    <t>You didn't choose a language.</t>
  </si>
  <si>
    <r>
      <rPr>
        <sz val="9"/>
        <color theme="1"/>
        <rFont val="맑은 고딕"/>
        <family val="2"/>
      </rPr>
      <t>언어가</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</si>
  <si>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source field.</t>
  </si>
  <si>
    <r>
      <t>Source</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</si>
  <si>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 target field.</t>
  </si>
  <si>
    <r>
      <t>Target</t>
    </r>
    <r>
      <rPr>
        <sz val="9"/>
        <color theme="1"/>
        <rFont val="맑은 고딕"/>
        <family val="2"/>
      </rPr>
      <t>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</si>
  <si>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didn't choose an unmap item.</t>
  </si>
  <si>
    <r>
      <t>Mapping</t>
    </r>
    <r>
      <rPr>
        <sz val="9"/>
        <color theme="1"/>
        <rFont val="맑은 고딕"/>
        <family val="2"/>
      </rPr>
      <t>취소항목이</t>
    </r>
    <r>
      <rPr>
        <sz val="9"/>
        <color theme="1"/>
        <rFont val="Calibri"/>
        <family val="2"/>
      </rPr>
      <t xml:space="preserve"> </t>
    </r>
    <r>
      <rPr>
        <sz val="9"/>
        <color theme="1"/>
        <rFont val="맑은 고딕"/>
        <family val="2"/>
      </rPr>
      <t>선택되지</t>
    </r>
    <r>
      <rPr>
        <sz val="9"/>
        <color theme="1"/>
        <rFont val="Calibri"/>
        <family val="2"/>
      </rPr>
      <t xml:space="preserve"> </t>
    </r>
    <r>
      <rPr>
        <sz val="9"/>
        <color theme="1"/>
        <rFont val="맑은 고딕"/>
        <family val="2"/>
      </rPr>
      <t>않았습니다</t>
    </r>
    <r>
      <rPr>
        <sz val="9"/>
        <color theme="1"/>
        <rFont val="Calibri"/>
        <family val="2"/>
      </rPr>
      <t>.</t>
    </r>
  </si>
  <si>
    <t>You selected {} areas. Please select only one area.</t>
  </si>
  <si>
    <r>
      <rPr>
        <sz val="9"/>
        <color theme="1"/>
        <rFont val="맑은 고딕"/>
        <family val="2"/>
      </rPr>
      <t>한곳만</t>
    </r>
    <r>
      <rPr>
        <sz val="9"/>
        <color theme="1"/>
        <rFont val="Calibri"/>
        <family val="2"/>
      </rPr>
      <t xml:space="preserve"> </t>
    </r>
    <r>
      <rPr>
        <sz val="9"/>
        <color theme="1"/>
        <rFont val="맑은 고딕"/>
        <family val="2"/>
      </rPr>
      <t>선택하세요</t>
    </r>
    <r>
      <rPr>
        <sz val="9"/>
        <color theme="1"/>
        <rFont val="Calibri"/>
        <family val="2"/>
      </rPr>
      <t xml:space="preserve">. </t>
    </r>
    <r>
      <rPr>
        <sz val="9"/>
        <color theme="1"/>
        <rFont val="맑은 고딕"/>
        <family val="2"/>
      </rPr>
      <t>현재</t>
    </r>
    <r>
      <rPr>
        <sz val="9"/>
        <color theme="1"/>
        <rFont val="Calibri"/>
        <family val="2"/>
      </rPr>
      <t xml:space="preserve"> {}</t>
    </r>
    <r>
      <rPr>
        <sz val="9"/>
        <color theme="1"/>
        <rFont val="맑은 고딕"/>
        <family val="2"/>
      </rPr>
      <t>곳이</t>
    </r>
    <r>
      <rPr>
        <sz val="9"/>
        <color theme="1"/>
        <rFont val="Calibri"/>
        <family val="2"/>
      </rPr>
      <t xml:space="preserve"> </t>
    </r>
    <r>
      <rPr>
        <sz val="9"/>
        <color theme="1"/>
        <rFont val="맑은 고딕"/>
        <family val="2"/>
      </rPr>
      <t>선택되었습니다</t>
    </r>
    <r>
      <rPr>
        <sz val="9"/>
        <color theme="1"/>
        <rFont val="Calibri"/>
        <family val="2"/>
      </rPr>
      <t>.</t>
    </r>
  </si>
  <si>
    <t>Group rows</t>
    <phoneticPr fontId="2" type="noConversion"/>
  </si>
  <si>
    <r>
      <rPr>
        <sz val="9"/>
        <color theme="1"/>
        <rFont val="돋움"/>
        <family val="3"/>
        <charset val="129"/>
      </rPr>
      <t>작업을</t>
    </r>
    <r>
      <rPr>
        <sz val="9"/>
        <color theme="1"/>
        <rFont val="Calibri"/>
        <family val="2"/>
      </rPr>
      <t xml:space="preserve"> </t>
    </r>
    <r>
      <rPr>
        <sz val="9"/>
        <color theme="1"/>
        <rFont val="돋움"/>
        <family val="3"/>
        <charset val="129"/>
      </rPr>
      <t>그룹으로</t>
    </r>
    <r>
      <rPr>
        <sz val="9"/>
        <color theme="1"/>
        <rFont val="Calibri"/>
        <family val="2"/>
      </rPr>
      <t xml:space="preserve"> </t>
    </r>
    <r>
      <rPr>
        <sz val="9"/>
        <color theme="1"/>
        <rFont val="돋움"/>
        <family val="3"/>
        <charset val="129"/>
      </rPr>
      <t>묶기</t>
    </r>
    <phoneticPr fontId="2" type="noConversion"/>
  </si>
  <si>
    <t>wbs</t>
  </si>
  <si>
    <t>task</t>
  </si>
  <si>
    <t>resource</t>
  </si>
  <si>
    <t>start</t>
  </si>
  <si>
    <t>finish</t>
  </si>
  <si>
    <t>timebucket_start</t>
  </si>
  <si>
    <t>timebucket_finish</t>
  </si>
  <si>
    <t>workload</t>
  </si>
  <si>
    <t>1.1.1</t>
  </si>
  <si>
    <t>프로젝트 착수</t>
  </si>
  <si>
    <t>홍길동</t>
  </si>
  <si>
    <t>1.1.2.1</t>
  </si>
  <si>
    <t>프로젝트 계획 수립</t>
  </si>
  <si>
    <t>김길동</t>
  </si>
  <si>
    <t>이길동</t>
  </si>
  <si>
    <t>1.1.2.2</t>
  </si>
  <si>
    <t>착수보고(Kick off)</t>
  </si>
  <si>
    <t>1.2.1</t>
  </si>
  <si>
    <t>월간보고1</t>
  </si>
  <si>
    <t>1.2.2</t>
  </si>
  <si>
    <t>월간보고2</t>
  </si>
  <si>
    <t>1.2.3</t>
  </si>
  <si>
    <t>월간보고3</t>
  </si>
  <si>
    <t>[담당자미지정]</t>
  </si>
  <si>
    <t>1.2.4</t>
  </si>
  <si>
    <t>중간보고</t>
  </si>
  <si>
    <t>1.3.1</t>
  </si>
  <si>
    <t>종료계획수립</t>
  </si>
  <si>
    <t>1.3.2</t>
  </si>
  <si>
    <t>시스템 인수인계</t>
  </si>
  <si>
    <t>1.3.3</t>
  </si>
  <si>
    <t>종료보고</t>
  </si>
  <si>
    <t>1.3.4</t>
  </si>
  <si>
    <t>검수 및 종료</t>
  </si>
  <si>
    <t>2.1.1</t>
  </si>
  <si>
    <t>요구사항정의</t>
  </si>
  <si>
    <t>박길동</t>
  </si>
  <si>
    <t>정길동</t>
  </si>
  <si>
    <t>최길동</t>
  </si>
  <si>
    <t>2.1.2.1</t>
  </si>
  <si>
    <t>프로세스모델링</t>
  </si>
  <si>
    <t>2.1.2.2</t>
  </si>
  <si>
    <t>데이터모델링</t>
  </si>
  <si>
    <t>2.2.1</t>
  </si>
  <si>
    <t>UI 설계</t>
  </si>
  <si>
    <t>유아인</t>
  </si>
  <si>
    <t>2.2.2.1</t>
  </si>
  <si>
    <t>Architecture설계</t>
  </si>
  <si>
    <t>김아키</t>
  </si>
  <si>
    <t>2.2.2.2</t>
  </si>
  <si>
    <t>데이터베이스설계</t>
  </si>
  <si>
    <t>김디비</t>
  </si>
  <si>
    <t>2.2.2.3</t>
  </si>
  <si>
    <t>프로그램설계</t>
  </si>
  <si>
    <t>김프로</t>
  </si>
  <si>
    <t>2.2.3</t>
  </si>
  <si>
    <t>테스트 설계</t>
  </si>
  <si>
    <t>2.3.1.1</t>
  </si>
  <si>
    <t>단위테스트시나리오작성</t>
  </si>
  <si>
    <t>2.3.1.2.1.1</t>
  </si>
  <si>
    <t>프로그램A</t>
  </si>
  <si>
    <t>이개발</t>
  </si>
  <si>
    <t>2.3.1.2.1.2</t>
  </si>
  <si>
    <t>프로그램B</t>
  </si>
  <si>
    <t>박개발</t>
  </si>
  <si>
    <t>2.3.1.2.1.3</t>
  </si>
  <si>
    <t>프로그램C</t>
  </si>
  <si>
    <t>2.3.1.2.2</t>
  </si>
  <si>
    <t>모듈B</t>
  </si>
  <si>
    <t>2.3.1.2.3</t>
  </si>
  <si>
    <t>모듈C</t>
  </si>
  <si>
    <t>2.3.1.2.4</t>
  </si>
  <si>
    <t>모듈D</t>
  </si>
  <si>
    <t>2.3.2.1</t>
  </si>
  <si>
    <t>통합테스트실시</t>
  </si>
  <si>
    <t>2.3.2.2</t>
  </si>
  <si>
    <t>시스템테스트실시</t>
  </si>
  <si>
    <t>2.4.1.1</t>
  </si>
  <si>
    <t>Release 및 Contingency plan수립</t>
  </si>
  <si>
    <t>2.4.2.1</t>
  </si>
  <si>
    <t>데이터베이스구축</t>
  </si>
  <si>
    <t>2.4.2.2</t>
  </si>
  <si>
    <t>소프트웨어설치</t>
  </si>
  <si>
    <t>2.4.2.3</t>
  </si>
  <si>
    <t>인수테스트실시</t>
  </si>
  <si>
    <t>2.4.2.4</t>
  </si>
  <si>
    <t>시스템오픈</t>
  </si>
  <si>
    <t>Total</t>
  </si>
  <si>
    <r>
      <t xml:space="preserve">  XLGantt 2.1.0 </t>
    </r>
    <r>
      <rPr>
        <b/>
        <sz val="14"/>
        <color rgb="FFFF8800"/>
        <rFont val="돋움"/>
        <family val="3"/>
        <charset val="129"/>
      </rPr>
      <t>ⓒ</t>
    </r>
    <r>
      <rPr>
        <b/>
        <sz val="14"/>
        <color rgb="FFFF8800"/>
        <rFont val="Calibri"/>
        <family val="2"/>
      </rPr>
      <t>XLWorks</t>
    </r>
  </si>
  <si>
    <t xml:space="preserve">  주별보기, Zoom 100%</t>
  </si>
  <si>
    <t>reserved</t>
    <phoneticPr fontId="8" type="noConversion"/>
  </si>
  <si>
    <t>task_group</t>
    <phoneticPr fontId="8" type="noConversion"/>
  </si>
  <si>
    <t>wbs_level</t>
    <phoneticPr fontId="8" type="noConversion"/>
  </si>
  <si>
    <t>WBS</t>
    <phoneticPr fontId="8" type="noConversion"/>
  </si>
  <si>
    <t>작업*</t>
    <phoneticPr fontId="8" type="noConversion"/>
  </si>
  <si>
    <t>비고</t>
    <phoneticPr fontId="8" type="noConversion"/>
  </si>
  <si>
    <t>시작일*</t>
    <phoneticPr fontId="8" type="noConversion"/>
  </si>
  <si>
    <t>완료일*</t>
    <phoneticPr fontId="8" type="noConversion"/>
  </si>
  <si>
    <t>Calendar</t>
    <phoneticPr fontId="8" type="noConversion"/>
  </si>
  <si>
    <t>총_x000D_
작업량</t>
    <phoneticPr fontId="8" type="noConversion"/>
  </si>
  <si>
    <t>계획_x000D_
작업량</t>
    <phoneticPr fontId="8" type="noConversion"/>
  </si>
  <si>
    <t>총_x000D_
기간</t>
    <phoneticPr fontId="8" type="noConversion"/>
  </si>
  <si>
    <t>계획_x000D_
기간</t>
    <phoneticPr fontId="8" type="noConversion"/>
  </si>
  <si>
    <t>실제_x000D_
시작일</t>
    <phoneticPr fontId="8" type="noConversion"/>
  </si>
  <si>
    <t>실제_x000D_
완료일</t>
    <phoneticPr fontId="8" type="noConversion"/>
  </si>
  <si>
    <t>실제_x000D_
총작업량</t>
    <phoneticPr fontId="8" type="noConversion"/>
  </si>
  <si>
    <t>실제_x000D_
총기간</t>
    <phoneticPr fontId="8" type="noConversion"/>
  </si>
  <si>
    <t>가중치</t>
    <phoneticPr fontId="8" type="noConversion"/>
  </si>
  <si>
    <t>담당</t>
    <phoneticPr fontId="8" type="noConversion"/>
  </si>
  <si>
    <t>산출물</t>
    <phoneticPr fontId="8" type="noConversion"/>
  </si>
  <si>
    <t>계획</t>
    <phoneticPr fontId="8" type="noConversion"/>
  </si>
  <si>
    <t>실적*</t>
    <phoneticPr fontId="8" type="noConversion"/>
  </si>
  <si>
    <t>G</t>
  </si>
  <si>
    <t>1</t>
  </si>
  <si>
    <t>프로젝트 관리</t>
  </si>
  <si>
    <t>1.1</t>
  </si>
  <si>
    <t>프로젝트 착수 및 계획수립</t>
  </si>
  <si>
    <t>1.1.2</t>
  </si>
  <si>
    <t>프로젝트 범위정의</t>
  </si>
  <si>
    <t>홍길동,김길동,이길동</t>
  </si>
  <si>
    <t>프로젝트수행계획서.pptx</t>
  </si>
  <si>
    <t>1.2</t>
  </si>
  <si>
    <t>프로젝트 수행 및 통제</t>
  </si>
  <si>
    <t>1.3</t>
  </si>
  <si>
    <t>프로젝트 종료</t>
  </si>
  <si>
    <t>2</t>
  </si>
  <si>
    <t>시스템 개발</t>
  </si>
  <si>
    <t>2.1</t>
  </si>
  <si>
    <t>분석</t>
  </si>
  <si>
    <t>박길동,정길동,최길동</t>
  </si>
  <si>
    <t>2.1.2</t>
  </si>
  <si>
    <t>논리모델구축</t>
  </si>
  <si>
    <t>논리데이터모델링.pptx</t>
  </si>
  <si>
    <t>2.2</t>
  </si>
  <si>
    <t>설계</t>
  </si>
  <si>
    <t>2.2.2</t>
  </si>
  <si>
    <t>시스템 설계</t>
  </si>
  <si>
    <t>프로그램명세서</t>
  </si>
  <si>
    <t>2.3</t>
  </si>
  <si>
    <t>개발</t>
  </si>
  <si>
    <t>2.3.1</t>
  </si>
  <si>
    <t>프로그램 개발</t>
  </si>
  <si>
    <t>2.3.1.2</t>
  </si>
  <si>
    <t>프로그램코딩 및 단위테스트</t>
  </si>
  <si>
    <t>2.3.1.2.1</t>
  </si>
  <si>
    <t>모듈A</t>
  </si>
  <si>
    <t>이개발,박개발</t>
  </si>
  <si>
    <t>2.3.2</t>
  </si>
  <si>
    <t>테스트실시</t>
  </si>
  <si>
    <t>2.4</t>
  </si>
  <si>
    <t>구현</t>
  </si>
  <si>
    <t>2.4.1</t>
  </si>
  <si>
    <t>구현준비</t>
  </si>
  <si>
    <t>2.4.2</t>
  </si>
  <si>
    <t>Conversion 및 Release</t>
  </si>
  <si>
    <t>김프로,김디비</t>
  </si>
  <si>
    <t>김프로,이개발</t>
  </si>
  <si>
    <t>프로젝트 진행율 - 일정변경 관리하지 않을때</t>
    <phoneticPr fontId="8" type="noConversion"/>
  </si>
  <si>
    <t>* 프로젝트 작업량과 진척율을 보여줍니다.</t>
    <phoneticPr fontId="8" type="noConversion"/>
  </si>
  <si>
    <t>* "스케줄업데이트" 버튼 클릭 시 아래 항목이 자동계산됩니다.</t>
    <phoneticPr fontId="8" type="noConversion"/>
  </si>
  <si>
    <t>프로젝트 전체 작업량</t>
    <phoneticPr fontId="8" type="noConversion"/>
  </si>
  <si>
    <t>Man/Day</t>
    <phoneticPr fontId="8" type="noConversion"/>
  </si>
  <si>
    <t>프로젝트 전체의 작업량을 Man/Day로 표시한다. 가중치를 적용한 값이다.</t>
    <phoneticPr fontId="8" type="noConversion"/>
  </si>
  <si>
    <t>현재일까지 계획된 작업량</t>
    <phoneticPr fontId="8" type="noConversion"/>
  </si>
  <si>
    <t>해당작업의 시작일부터 현재일까지의 작업기간을 의미함(현재 날짜까지 진행되었어야 할 기간)</t>
    <phoneticPr fontId="8" type="noConversion"/>
  </si>
  <si>
    <t>실제 진행된 작업량</t>
    <phoneticPr fontId="8" type="noConversion"/>
  </si>
  <si>
    <t>일정변경관리 하지 않을 때 현재까지 실제로 진행된 작업기간을 표시함(총기간 x 총실적진행율)</t>
    <phoneticPr fontId="8" type="noConversion"/>
  </si>
  <si>
    <t>일정변경 관리할 때 현재까지 실제로 투입된 작업기간을 표시함</t>
    <phoneticPr fontId="8" type="noConversion"/>
  </si>
  <si>
    <t>계획 진척율(A)</t>
    <phoneticPr fontId="8" type="noConversion"/>
  </si>
  <si>
    <t>현재날짜까지 계획된 진척율, WBS의 "계획진척율"의 전체 합계 진척율을 표시함</t>
    <phoneticPr fontId="8" type="noConversion"/>
  </si>
  <si>
    <t>실적 진척율(B)</t>
    <phoneticPr fontId="8" type="noConversion"/>
  </si>
  <si>
    <t>현재날짜까지 실제로 진행된 진척율, WBS의 "실적진척율"의 전체 합계 진척율을 표시함</t>
    <phoneticPr fontId="8" type="noConversion"/>
  </si>
  <si>
    <t>차이(B-A)</t>
    <phoneticPr fontId="8" type="noConversion"/>
  </si>
  <si>
    <t>양수이면 계획보다 빨리 진행, 음수이면 지연</t>
    <phoneticPr fontId="8" type="noConversion"/>
  </si>
  <si>
    <t>계획진척율(주별)</t>
  </si>
  <si>
    <t>* 주별로 프로젝트의 계획진적율을 보여줍니다.</t>
  </si>
  <si>
    <t>* "계획진척율" 메뉴를 클릭해야 갱신됨</t>
  </si>
  <si>
    <t>시작일</t>
  </si>
  <si>
    <t>완료일</t>
  </si>
  <si>
    <t>누적_x000D_
Man-Day</t>
  </si>
  <si>
    <t>진척율</t>
  </si>
  <si>
    <t xml:space="preserve"> 프로젝트 휴무일 Calendar 설정</t>
    <phoneticPr fontId="8"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</si>
  <si>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8" type="noConversion"/>
  </si>
  <si>
    <t>표준캘린더</t>
    <phoneticPr fontId="8" type="noConversion"/>
  </si>
  <si>
    <t>사용자정의 캘린더1</t>
    <phoneticPr fontId="8" type="noConversion"/>
  </si>
  <si>
    <t>사용자정의 캘린더2</t>
    <phoneticPr fontId="8" type="noConversion"/>
  </si>
  <si>
    <t>휴무일명</t>
    <phoneticPr fontId="8" type="noConversion"/>
  </si>
  <si>
    <t>휴무일자</t>
    <phoneticPr fontId="8" type="noConversion"/>
  </si>
  <si>
    <r>
      <t>2018</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</si>
  <si>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2018</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</si>
  <si>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</si>
  <si>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2018</t>
    </r>
    <r>
      <rPr>
        <sz val="11"/>
        <rFont val="맑은 고딕"/>
        <family val="3"/>
        <charset val="129"/>
      </rPr>
      <t>년</t>
    </r>
    <r>
      <rPr>
        <sz val="11"/>
        <rFont val="Calibri"/>
        <family val="2"/>
      </rPr>
      <t xml:space="preserve"> </t>
    </r>
    <r>
      <rPr>
        <sz val="11"/>
        <rFont val="맑은 고딕"/>
        <family val="3"/>
        <charset val="129"/>
      </rPr>
      <t>삼일절</t>
    </r>
    <phoneticPr fontId="2" type="noConversion"/>
  </si>
  <si>
    <r>
      <t>2018</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</si>
  <si>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부처님오신날</t>
    </r>
    <phoneticPr fontId="2" type="noConversion"/>
  </si>
  <si>
    <r>
      <t>2018</t>
    </r>
    <r>
      <rPr>
        <sz val="11"/>
        <rFont val="맑은 고딕"/>
        <family val="3"/>
        <charset val="129"/>
      </rPr>
      <t>년</t>
    </r>
    <r>
      <rPr>
        <sz val="11"/>
        <rFont val="Calibri"/>
        <family val="2"/>
      </rPr>
      <t xml:space="preserve"> </t>
    </r>
    <r>
      <rPr>
        <sz val="11"/>
        <rFont val="맑은 고딕"/>
        <family val="3"/>
        <charset val="129"/>
      </rPr>
      <t>현충일</t>
    </r>
    <phoneticPr fontId="2" type="noConversion"/>
  </si>
  <si>
    <r>
      <t>2018</t>
    </r>
    <r>
      <rPr>
        <sz val="11"/>
        <rFont val="맑은 고딕"/>
        <family val="3"/>
        <charset val="129"/>
      </rPr>
      <t>년</t>
    </r>
    <r>
      <rPr>
        <sz val="11"/>
        <rFont val="Calibri"/>
        <family val="2"/>
      </rPr>
      <t xml:space="preserve"> </t>
    </r>
    <r>
      <rPr>
        <sz val="11"/>
        <rFont val="맑은 고딕"/>
        <family val="3"/>
        <charset val="129"/>
      </rPr>
      <t>광복절</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</si>
  <si>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</si>
  <si>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추석연휴</t>
    </r>
    <phoneticPr fontId="2" type="noConversion"/>
  </si>
  <si>
    <r>
      <t>2018</t>
    </r>
    <r>
      <rPr>
        <sz val="11"/>
        <rFont val="맑은 고딕"/>
        <family val="3"/>
        <charset val="129"/>
      </rPr>
      <t>년</t>
    </r>
    <r>
      <rPr>
        <sz val="11"/>
        <rFont val="Calibri"/>
        <family val="2"/>
      </rPr>
      <t xml:space="preserve"> </t>
    </r>
    <r>
      <rPr>
        <sz val="11"/>
        <rFont val="맑은 고딕"/>
        <family val="3"/>
        <charset val="129"/>
      </rPr>
      <t>추석</t>
    </r>
    <r>
      <rPr>
        <sz val="11"/>
        <rFont val="Calibri"/>
        <family val="2"/>
      </rPr>
      <t xml:space="preserve"> </t>
    </r>
    <r>
      <rPr>
        <sz val="11"/>
        <rFont val="맑은 고딕"/>
        <family val="3"/>
        <charset val="129"/>
      </rPr>
      <t>대체휴일</t>
    </r>
    <phoneticPr fontId="2" type="noConversion"/>
  </si>
  <si>
    <r>
      <t>2018</t>
    </r>
    <r>
      <rPr>
        <sz val="11"/>
        <rFont val="맑은 고딕"/>
        <family val="3"/>
        <charset val="129"/>
      </rPr>
      <t>년</t>
    </r>
    <r>
      <rPr>
        <sz val="11"/>
        <rFont val="Calibri"/>
        <family val="2"/>
      </rPr>
      <t xml:space="preserve"> </t>
    </r>
    <r>
      <rPr>
        <sz val="11"/>
        <rFont val="맑은 고딕"/>
        <family val="3"/>
        <charset val="129"/>
      </rPr>
      <t>개천절</t>
    </r>
    <phoneticPr fontId="2" type="noConversion"/>
  </si>
  <si>
    <r>
      <t>2018</t>
    </r>
    <r>
      <rPr>
        <sz val="11"/>
        <rFont val="맑은 고딕"/>
        <family val="3"/>
        <charset val="129"/>
      </rPr>
      <t>년</t>
    </r>
    <r>
      <rPr>
        <sz val="11"/>
        <rFont val="Calibri"/>
        <family val="2"/>
      </rPr>
      <t xml:space="preserve"> </t>
    </r>
    <r>
      <rPr>
        <sz val="11"/>
        <rFont val="맑은 고딕"/>
        <family val="3"/>
        <charset val="129"/>
      </rPr>
      <t>한글날</t>
    </r>
    <phoneticPr fontId="2" type="noConversion"/>
  </si>
  <si>
    <r>
      <t>2018</t>
    </r>
    <r>
      <rPr>
        <sz val="11"/>
        <rFont val="맑은 고딕"/>
        <family val="3"/>
        <charset val="129"/>
      </rPr>
      <t>년</t>
    </r>
    <r>
      <rPr>
        <sz val="11"/>
        <rFont val="Calibri"/>
        <family val="2"/>
      </rPr>
      <t xml:space="preserve"> </t>
    </r>
    <r>
      <rPr>
        <sz val="11"/>
        <rFont val="맑은 고딕"/>
        <family val="3"/>
        <charset val="129"/>
      </rPr>
      <t>성탄절</t>
    </r>
    <phoneticPr fontId="2" type="noConversion"/>
  </si>
  <si>
    <r>
      <t>2019</t>
    </r>
    <r>
      <rPr>
        <sz val="11"/>
        <rFont val="맑은 고딕"/>
        <family val="3"/>
        <charset val="129"/>
      </rPr>
      <t>년</t>
    </r>
    <r>
      <rPr>
        <sz val="11"/>
        <rFont val="Calibri"/>
        <family val="2"/>
      </rPr>
      <t xml:space="preserve"> </t>
    </r>
    <r>
      <rPr>
        <sz val="11"/>
        <rFont val="맑은 고딕"/>
        <family val="3"/>
        <charset val="129"/>
      </rPr>
      <t>신정</t>
    </r>
    <phoneticPr fontId="2" type="noConversion"/>
  </si>
  <si>
    <r>
      <t>2019</t>
    </r>
    <r>
      <rPr>
        <sz val="11"/>
        <rFont val="맑은 고딕"/>
        <family val="3"/>
        <charset val="129"/>
      </rPr>
      <t>년</t>
    </r>
    <r>
      <rPr>
        <sz val="11"/>
        <rFont val="Calibri"/>
        <family val="2"/>
      </rPr>
      <t xml:space="preserve"> </t>
    </r>
    <r>
      <rPr>
        <sz val="11"/>
        <rFont val="맑은 고딕"/>
        <family val="3"/>
        <charset val="129"/>
      </rPr>
      <t>설연휴</t>
    </r>
    <phoneticPr fontId="2" type="noConversion"/>
  </si>
  <si>
    <r>
      <t>2019</t>
    </r>
    <r>
      <rPr>
        <sz val="11"/>
        <rFont val="맑은 고딕"/>
        <family val="3"/>
        <charset val="129"/>
      </rPr>
      <t>년</t>
    </r>
    <r>
      <rPr>
        <sz val="11"/>
        <rFont val="Calibri"/>
        <family val="2"/>
      </rPr>
      <t xml:space="preserve"> </t>
    </r>
    <r>
      <rPr>
        <sz val="11"/>
        <rFont val="맑은 고딕"/>
        <family val="3"/>
        <charset val="129"/>
      </rPr>
      <t>설날</t>
    </r>
    <phoneticPr fontId="2" type="noConversion"/>
  </si>
  <si>
    <r>
      <t>2019</t>
    </r>
    <r>
      <rPr>
        <sz val="11"/>
        <rFont val="맑은 고딕"/>
        <family val="3"/>
        <charset val="129"/>
      </rPr>
      <t>년</t>
    </r>
    <r>
      <rPr>
        <sz val="11"/>
        <rFont val="Calibri"/>
        <family val="2"/>
      </rPr>
      <t xml:space="preserve"> </t>
    </r>
    <r>
      <rPr>
        <sz val="11"/>
        <rFont val="맑은 고딕"/>
        <family val="3"/>
        <charset val="129"/>
      </rPr>
      <t>삼일절</t>
    </r>
  </si>
  <si>
    <r>
      <t>2019</t>
    </r>
    <r>
      <rPr>
        <sz val="11"/>
        <rFont val="맑은 고딕"/>
        <family val="3"/>
        <charset val="129"/>
      </rPr>
      <t>년</t>
    </r>
    <r>
      <rPr>
        <sz val="11"/>
        <rFont val="Calibri"/>
        <family val="2"/>
      </rPr>
      <t xml:space="preserve"> </t>
    </r>
    <r>
      <rPr>
        <sz val="11"/>
        <rFont val="맑은 고딕"/>
        <family val="3"/>
        <charset val="129"/>
      </rPr>
      <t>어린이날</t>
    </r>
    <r>
      <rPr>
        <sz val="11"/>
        <rFont val="Calibri"/>
        <family val="2"/>
      </rPr>
      <t xml:space="preserve"> </t>
    </r>
    <r>
      <rPr>
        <sz val="11"/>
        <rFont val="맑은 고딕"/>
        <family val="3"/>
        <charset val="129"/>
      </rPr>
      <t>대체휴일</t>
    </r>
  </si>
  <si>
    <r>
      <t>2019</t>
    </r>
    <r>
      <rPr>
        <sz val="11"/>
        <rFont val="맑은 고딕"/>
        <family val="3"/>
        <charset val="129"/>
      </rPr>
      <t>년</t>
    </r>
    <r>
      <rPr>
        <sz val="11"/>
        <rFont val="Calibri"/>
        <family val="2"/>
      </rPr>
      <t xml:space="preserve"> </t>
    </r>
    <r>
      <rPr>
        <sz val="11"/>
        <rFont val="맑은 고딕"/>
        <family val="3"/>
        <charset val="129"/>
      </rPr>
      <t>현충일</t>
    </r>
  </si>
  <si>
    <r>
      <t>2019</t>
    </r>
    <r>
      <rPr>
        <sz val="11"/>
        <rFont val="맑은 고딕"/>
        <family val="3"/>
        <charset val="129"/>
      </rPr>
      <t>년</t>
    </r>
    <r>
      <rPr>
        <sz val="11"/>
        <rFont val="Calibri"/>
        <family val="2"/>
      </rPr>
      <t xml:space="preserve"> </t>
    </r>
    <r>
      <rPr>
        <sz val="11"/>
        <rFont val="맑은 고딕"/>
        <family val="3"/>
        <charset val="129"/>
      </rPr>
      <t>광복절</t>
    </r>
  </si>
  <si>
    <r>
      <t>2019</t>
    </r>
    <r>
      <rPr>
        <sz val="11"/>
        <rFont val="맑은 고딕"/>
        <family val="3"/>
        <charset val="129"/>
      </rPr>
      <t>년</t>
    </r>
    <r>
      <rPr>
        <sz val="11"/>
        <rFont val="Calibri"/>
        <family val="2"/>
      </rPr>
      <t xml:space="preserve"> </t>
    </r>
    <r>
      <rPr>
        <sz val="11"/>
        <rFont val="맑은 고딕"/>
        <family val="3"/>
        <charset val="129"/>
      </rPr>
      <t>추석연휴</t>
    </r>
  </si>
  <si>
    <r>
      <t>2019</t>
    </r>
    <r>
      <rPr>
        <sz val="11"/>
        <rFont val="맑은 고딕"/>
        <family val="3"/>
        <charset val="129"/>
      </rPr>
      <t>년</t>
    </r>
    <r>
      <rPr>
        <sz val="11"/>
        <rFont val="Calibri"/>
        <family val="2"/>
      </rPr>
      <t xml:space="preserve"> </t>
    </r>
    <r>
      <rPr>
        <sz val="11"/>
        <rFont val="맑은 고딕"/>
        <family val="3"/>
        <charset val="129"/>
      </rPr>
      <t>추석</t>
    </r>
    <phoneticPr fontId="2" type="noConversion"/>
  </si>
  <si>
    <r>
      <t>2019</t>
    </r>
    <r>
      <rPr>
        <sz val="11"/>
        <rFont val="맑은 고딕"/>
        <family val="3"/>
        <charset val="129"/>
      </rPr>
      <t>년</t>
    </r>
    <r>
      <rPr>
        <sz val="11"/>
        <rFont val="Calibri"/>
        <family val="2"/>
      </rPr>
      <t xml:space="preserve"> </t>
    </r>
    <r>
      <rPr>
        <sz val="11"/>
        <rFont val="맑은 고딕"/>
        <family val="3"/>
        <charset val="129"/>
      </rPr>
      <t>개천절</t>
    </r>
  </si>
  <si>
    <r>
      <t>2019</t>
    </r>
    <r>
      <rPr>
        <sz val="11"/>
        <rFont val="맑은 고딕"/>
        <family val="3"/>
        <charset val="129"/>
      </rPr>
      <t>년</t>
    </r>
    <r>
      <rPr>
        <sz val="11"/>
        <rFont val="Calibri"/>
        <family val="2"/>
      </rPr>
      <t xml:space="preserve"> </t>
    </r>
    <r>
      <rPr>
        <sz val="11"/>
        <rFont val="맑은 고딕"/>
        <family val="3"/>
        <charset val="129"/>
      </rPr>
      <t>한글날</t>
    </r>
  </si>
  <si>
    <r>
      <t>2019</t>
    </r>
    <r>
      <rPr>
        <sz val="11"/>
        <rFont val="맑은 고딕"/>
        <family val="3"/>
        <charset val="129"/>
      </rPr>
      <t>년</t>
    </r>
    <r>
      <rPr>
        <sz val="11"/>
        <rFont val="Calibri"/>
        <family val="2"/>
      </rPr>
      <t xml:space="preserve"> </t>
    </r>
    <r>
      <rPr>
        <sz val="11"/>
        <rFont val="맑은 고딕"/>
        <family val="3"/>
        <charset val="129"/>
      </rPr>
      <t>성탄절</t>
    </r>
  </si>
  <si>
    <t>더 이상 입력불가</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</si>
</sst>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mm\/dd"/>
    <numFmt numFmtId="179" formatCode="0.0_);[Red]\(0.0\)"/>
    <numFmt numFmtId="180" formatCode="0.00_);[Red]\(0.00\)"/>
  </numFmts>
  <fonts count="44">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b/>
      <sz val="14"/>
      <color rgb="FFFF880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sz val="9"/>
      <color rgb="FFFF880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2"/>
      <color rgb="FF222222"/>
      <name val="Calibri"/>
      <family val="2"/>
    </font>
    <font>
      <sz val="11"/>
      <color theme="1"/>
      <name val="맑은 고딕"/>
      <family val="3"/>
      <charset val="129"/>
      <scheme val="minor"/>
    </font>
    <font>
      <sz val="10"/>
      <color theme="1"/>
      <name val="Calibri"/>
      <family val="2"/>
    </font>
    <font>
      <sz val="11"/>
      <name val="CA"/>
      <family val="2"/>
    </font>
    <font>
      <sz val="11"/>
      <color theme="1"/>
      <name val="맑은 고딕"/>
      <family val="2"/>
      <scheme val="minor"/>
    </font>
    <font>
      <b/>
      <sz val="9"/>
      <color rgb="FFFF8800"/>
      <name val="Calibri"/>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9"/>
      <color theme="1"/>
      <name val="맑은 고딕"/>
      <family val="2"/>
      <scheme val="minor"/>
    </font>
    <font>
      <sz val="9"/>
      <color theme="1"/>
      <name val="Calibri"/>
      <family val="2"/>
    </font>
    <font>
      <sz val="9"/>
      <color theme="1"/>
      <name val="돋움"/>
      <family val="3"/>
      <charset val="129"/>
    </font>
    <font>
      <sz val="10"/>
      <color theme="1"/>
      <name val="돋움"/>
      <family val="3"/>
      <charset val="129"/>
    </font>
    <font>
      <sz val="9"/>
      <color rgb="FFFF0000"/>
      <name val="Calibri"/>
      <family val="2"/>
    </font>
    <font>
      <sz val="9"/>
      <color rgb="FFFF0000"/>
      <name val="맑은 고딕"/>
      <family val="2"/>
      <scheme val="minor"/>
    </font>
    <font>
      <sz val="10"/>
      <color rgb="FFFF0000"/>
      <name val="Calibri"/>
      <family val="2"/>
    </font>
    <font>
      <sz val="9"/>
      <color theme="1"/>
      <name val="맑은 고딕"/>
      <family val="2"/>
    </font>
    <font>
      <sz val="11"/>
      <name val="맑은 고딕"/>
      <family val="3"/>
      <charset val="129"/>
    </font>
    <font>
      <b/>
      <sz val="14"/>
      <color rgb="FFFF8800"/>
      <name val="돋움"/>
      <family val="3"/>
      <charset val="129"/>
    </font>
  </fonts>
  <fills count="12">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s>
  <borders count="27">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left>
      <right style="thin">
        <color theme="0"/>
      </right>
      <top style="thin">
        <color theme="0"/>
      </top>
      <bottom style="thin">
        <color theme="0"/>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right/>
      <top/>
      <bottom style="thin">
        <color theme="0"/>
      </bottom>
      <diagonal/>
    </border>
    <border>
      <left style="thin">
        <color indexed="64"/>
      </left>
      <right style="thin">
        <color indexed="64"/>
      </right>
      <top style="thin">
        <color indexed="64"/>
      </top>
      <bottom/>
      <diagonal/>
    </border>
    <border>
      <left style="thin">
        <color theme="0" tint="-0.1498764000366222"/>
      </left>
      <right style="thin">
        <color theme="0" tint="-0.1498764000366222"/>
      </right>
      <top/>
      <bottom style="thin">
        <color theme="0" tint="-0.1498764000366222"/>
      </bottom>
      <diagonal/>
    </border>
    <border>
      <left/>
      <right/>
      <top style="thin">
        <color theme="0" tint="-0.14993743705557422"/>
      </top>
      <bottom style="thin">
        <color theme="0" tint="-0.149937437055574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9" fillId="0" borderId="0" applyFont="0" applyFill="0" applyBorder="0" applyAlignment="0" applyProtection="0">
      <alignment vertical="center"/>
    </xf>
    <xf numFmtId="0" fontId="9" fillId="0" borderId="0"/>
    <xf numFmtId="0" fontId="24" fillId="0" borderId="0"/>
    <xf numFmtId="9" fontId="27" fillId="0" borderId="0" applyFont="0" applyFill="0" applyBorder="0" applyAlignment="0" applyProtection="0">
      <alignment vertical="center"/>
    </xf>
  </cellStyleXfs>
  <cellXfs count="234">
    <xf numFmtId="0" fontId="0" fillId="0" borderId="0" xfId="0"/>
    <xf numFmtId="0" fontId="12" fillId="0" borderId="0" xfId="1" applyFont="1" applyFill="1" applyBorder="1" applyAlignment="1">
      <alignment horizontal="left" vertical="center"/>
    </xf>
    <xf numFmtId="0" fontId="12" fillId="0" borderId="2" xfId="4" applyFont="1" applyBorder="1" applyAlignment="1">
      <alignment horizontal="left" vertical="center"/>
    </xf>
    <xf numFmtId="0" fontId="12" fillId="0" borderId="7" xfId="4" quotePrefix="1" applyFont="1" applyBorder="1" applyAlignment="1" applyProtection="1">
      <alignment horizontal="right" vertical="top"/>
      <protection locked="0"/>
    </xf>
    <xf numFmtId="0" fontId="12" fillId="0" borderId="8" xfId="4" applyFont="1" applyBorder="1" applyAlignment="1" applyProtection="1">
      <alignment horizontal="left" vertical="center"/>
      <protection locked="0"/>
    </xf>
    <xf numFmtId="0" fontId="12" fillId="0" borderId="10" xfId="4" applyFont="1" applyBorder="1" applyAlignment="1" applyProtection="1">
      <alignment horizontal="right" vertical="top"/>
      <protection locked="0"/>
    </xf>
    <xf numFmtId="0" fontId="12" fillId="0" borderId="10" xfId="4" applyFont="1" applyBorder="1" applyAlignment="1" applyProtection="1">
      <alignment horizontal="left" vertical="top"/>
      <protection locked="0"/>
    </xf>
    <xf numFmtId="14" fontId="12" fillId="0" borderId="10" xfId="4" applyNumberFormat="1" applyFont="1" applyBorder="1" applyAlignment="1" applyProtection="1">
      <alignment horizontal="center" vertical="top"/>
      <protection locked="0"/>
    </xf>
    <xf numFmtId="176" fontId="12" fillId="0" borderId="10" xfId="4" applyNumberFormat="1" applyFont="1" applyBorder="1" applyAlignment="1" applyProtection="1">
      <alignment horizontal="center" vertical="top"/>
      <protection locked="0"/>
    </xf>
    <xf numFmtId="0" fontId="12" fillId="0" borderId="10" xfId="4" applyFont="1" applyBorder="1" applyAlignment="1" applyProtection="1">
      <alignment horizontal="center" vertical="top"/>
      <protection locked="0"/>
    </xf>
    <xf numFmtId="177" fontId="12" fillId="0" borderId="10" xfId="4" applyNumberFormat="1" applyFont="1" applyBorder="1" applyAlignment="1" applyProtection="1">
      <alignment horizontal="center" vertical="top"/>
      <protection locked="0"/>
    </xf>
    <xf numFmtId="1" fontId="12" fillId="0" borderId="10" xfId="4" applyNumberFormat="1" applyFont="1" applyBorder="1" applyAlignment="1" applyProtection="1">
      <alignment horizontal="center" vertical="top"/>
      <protection locked="0"/>
    </xf>
    <xf numFmtId="179" fontId="12" fillId="0" borderId="10" xfId="4" applyNumberFormat="1" applyFont="1" applyBorder="1" applyAlignment="1" applyProtection="1">
      <alignment horizontal="center" vertical="top"/>
      <protection locked="0"/>
    </xf>
    <xf numFmtId="14" fontId="12" fillId="0" borderId="10" xfId="4" applyNumberFormat="1" applyFont="1" applyBorder="1" applyAlignment="1" applyProtection="1">
      <alignment horizontal="left" vertical="top"/>
      <protection locked="0"/>
    </xf>
    <xf numFmtId="10" fontId="12" fillId="0" borderId="10" xfId="3" applyNumberFormat="1" applyFont="1" applyFill="1" applyBorder="1" applyAlignment="1" applyProtection="1">
      <alignment horizontal="right" vertical="top" wrapText="1"/>
      <protection locked="0"/>
    </xf>
    <xf numFmtId="10" fontId="12" fillId="0" borderId="10" xfId="3" applyNumberFormat="1" applyFont="1" applyFill="1" applyBorder="1" applyAlignment="1" applyProtection="1">
      <alignment horizontal="right" vertical="top"/>
      <protection locked="0"/>
    </xf>
    <xf numFmtId="0" fontId="14" fillId="0" borderId="0" xfId="1" applyFont="1" applyFill="1" applyBorder="1" applyAlignment="1">
      <alignment vertical="center"/>
    </xf>
    <xf numFmtId="0" fontId="10" fillId="0" borderId="0" xfId="1" applyFont="1" applyFill="1" applyBorder="1" applyAlignment="1">
      <alignment vertical="center"/>
    </xf>
    <xf numFmtId="14" fontId="15" fillId="0" borderId="0" xfId="4" applyNumberFormat="1" applyFont="1" applyAlignment="1">
      <alignment vertical="center"/>
    </xf>
    <xf numFmtId="14" fontId="16" fillId="0" borderId="0" xfId="4" applyNumberFormat="1" applyFont="1" applyAlignment="1">
      <alignment vertical="center"/>
    </xf>
    <xf numFmtId="14" fontId="17" fillId="3" borderId="0" xfId="4" quotePrefix="1" applyNumberFormat="1" applyFont="1" applyFill="1"/>
    <xf numFmtId="14" fontId="17" fillId="3" borderId="0" xfId="4" applyNumberFormat="1" applyFont="1" applyFill="1" applyAlignment="1">
      <alignment vertical="center"/>
    </xf>
    <xf numFmtId="0" fontId="17" fillId="3" borderId="0" xfId="4" applyFont="1" applyFill="1"/>
    <xf numFmtId="176" fontId="19" fillId="3" borderId="0" xfId="4" applyNumberFormat="1" applyFont="1" applyFill="1" applyAlignment="1" applyProtection="1">
      <alignment vertical="center"/>
      <protection locked="0"/>
    </xf>
    <xf numFmtId="14" fontId="18" fillId="3" borderId="0" xfId="4" applyNumberFormat="1" applyFont="1" applyFill="1" applyAlignment="1">
      <alignment vertical="center"/>
    </xf>
    <xf numFmtId="14" fontId="17" fillId="0" borderId="11" xfId="4" applyNumberFormat="1" applyFont="1" applyBorder="1" applyAlignment="1" applyProtection="1">
      <alignment vertical="top"/>
      <protection locked="0"/>
    </xf>
    <xf numFmtId="14" fontId="17" fillId="0" borderId="11" xfId="4" applyNumberFormat="1" applyFont="1" applyBorder="1" applyAlignment="1" applyProtection="1">
      <alignment vertical="center"/>
      <protection locked="0"/>
    </xf>
    <xf numFmtId="0" fontId="17" fillId="0" borderId="11" xfId="4" applyFont="1" applyBorder="1" applyAlignment="1" applyProtection="1">
      <alignment vertical="top"/>
      <protection locked="0"/>
    </xf>
    <xf numFmtId="0" fontId="17" fillId="0" borderId="11" xfId="4" applyFont="1" applyBorder="1" applyAlignment="1" applyProtection="1">
      <alignment vertical="center" wrapText="1"/>
      <protection locked="0"/>
    </xf>
    <xf numFmtId="0" fontId="17" fillId="0" borderId="11" xfId="4" applyFont="1" applyBorder="1" applyAlignment="1" applyProtection="1">
      <alignment vertical="center"/>
      <protection locked="0"/>
    </xf>
    <xf numFmtId="0" fontId="17" fillId="0" borderId="0" xfId="4" applyFont="1" applyAlignment="1" applyProtection="1">
      <alignment vertical="top"/>
      <protection locked="0"/>
    </xf>
    <xf numFmtId="14" fontId="20" fillId="0" borderId="0" xfId="4" applyNumberFormat="1" applyFont="1" applyAlignment="1" applyProtection="1">
      <alignment horizontal="right" vertical="top"/>
      <protection locked="0"/>
    </xf>
    <xf numFmtId="180" fontId="17" fillId="6" borderId="12" xfId="4" applyNumberFormat="1" applyFont="1" applyFill="1" applyBorder="1" applyAlignment="1" applyProtection="1">
      <alignment vertical="center"/>
      <protection locked="0"/>
    </xf>
    <xf numFmtId="14" fontId="20" fillId="0" borderId="13" xfId="4" applyNumberFormat="1" applyFont="1" applyBorder="1" applyAlignment="1" applyProtection="1">
      <alignment horizontal="right" vertical="top"/>
      <protection locked="0"/>
    </xf>
    <xf numFmtId="14" fontId="17" fillId="0" borderId="13" xfId="4" applyNumberFormat="1" applyFont="1" applyBorder="1" applyAlignment="1" applyProtection="1">
      <alignment vertical="center"/>
      <protection locked="0"/>
    </xf>
    <xf numFmtId="0" fontId="17" fillId="0" borderId="13" xfId="4" applyFont="1" applyBorder="1" applyAlignment="1" applyProtection="1">
      <alignment vertical="top"/>
      <protection locked="0"/>
    </xf>
    <xf numFmtId="0" fontId="17" fillId="0" borderId="13" xfId="4" applyFont="1" applyBorder="1" applyAlignment="1" applyProtection="1">
      <alignment vertical="center"/>
      <protection locked="0"/>
    </xf>
    <xf numFmtId="14" fontId="20" fillId="0" borderId="0" xfId="4" applyNumberFormat="1" applyFont="1" applyAlignment="1" applyProtection="1">
      <alignment vertical="top"/>
      <protection locked="0"/>
    </xf>
    <xf numFmtId="14" fontId="17" fillId="0" borderId="0" xfId="4" applyNumberFormat="1" applyFont="1" applyAlignment="1" applyProtection="1">
      <alignment vertical="center"/>
      <protection locked="0"/>
    </xf>
    <xf numFmtId="0" fontId="17" fillId="0" borderId="14" xfId="4" applyFont="1" applyBorder="1" applyAlignment="1" applyProtection="1">
      <alignment vertical="center" wrapText="1"/>
      <protection locked="0"/>
    </xf>
    <xf numFmtId="14" fontId="17" fillId="0" borderId="0" xfId="4" applyNumberFormat="1" applyFont="1" applyAlignment="1" applyProtection="1">
      <alignment vertical="top"/>
      <protection locked="0"/>
    </xf>
    <xf numFmtId="14" fontId="20" fillId="0" borderId="13" xfId="4" applyNumberFormat="1" applyFont="1" applyBorder="1" applyAlignment="1" applyProtection="1">
      <alignment vertical="top"/>
      <protection locked="0"/>
    </xf>
    <xf numFmtId="0" fontId="17" fillId="0" borderId="13" xfId="4" applyFont="1" applyBorder="1" applyAlignment="1" applyProtection="1">
      <alignment vertical="center" wrapText="1"/>
      <protection locked="0"/>
    </xf>
    <xf numFmtId="14" fontId="20" fillId="0" borderId="14" xfId="4" applyNumberFormat="1" applyFont="1" applyBorder="1" applyAlignment="1" applyProtection="1">
      <alignment vertical="center" wrapText="1"/>
      <protection locked="0"/>
    </xf>
    <xf numFmtId="14" fontId="20" fillId="0" borderId="0" xfId="4" applyNumberFormat="1" applyFont="1" applyAlignment="1" applyProtection="1">
      <alignment horizontal="right" vertical="center" wrapText="1"/>
      <protection locked="0"/>
    </xf>
    <xf numFmtId="14" fontId="20" fillId="0" borderId="13" xfId="4" applyNumberFormat="1" applyFont="1" applyBorder="1" applyAlignment="1" applyProtection="1">
      <alignment vertical="center" wrapText="1"/>
      <protection locked="0"/>
    </xf>
    <xf numFmtId="0" fontId="17" fillId="0" borderId="13" xfId="4" applyFont="1" applyBorder="1" applyProtection="1">
      <protection locked="0"/>
    </xf>
    <xf numFmtId="0" fontId="17" fillId="0" borderId="0" xfId="4" applyFont="1" applyProtection="1">
      <protection locked="0"/>
    </xf>
    <xf numFmtId="14" fontId="17" fillId="0" borderId="0" xfId="4" applyNumberFormat="1" applyFont="1" applyProtection="1">
      <protection locked="0"/>
    </xf>
    <xf numFmtId="14" fontId="17" fillId="0" borderId="14" xfId="4" applyNumberFormat="1" applyFont="1" applyBorder="1" applyAlignment="1" applyProtection="1">
      <alignment vertical="center"/>
      <protection locked="0"/>
    </xf>
    <xf numFmtId="0" fontId="17" fillId="0" borderId="14" xfId="4" applyFont="1" applyBorder="1" applyProtection="1">
      <protection locked="0"/>
    </xf>
    <xf numFmtId="14" fontId="17" fillId="0" borderId="15" xfId="4" applyNumberFormat="1" applyFont="1" applyBorder="1" applyAlignment="1" applyProtection="1">
      <alignment vertical="center"/>
      <protection locked="0"/>
    </xf>
    <xf numFmtId="0" fontId="17" fillId="0" borderId="15" xfId="4" applyFont="1" applyBorder="1" applyAlignment="1" applyProtection="1">
      <alignment vertical="top"/>
      <protection locked="0"/>
    </xf>
    <xf numFmtId="14" fontId="20" fillId="0" borderId="14" xfId="4" applyNumberFormat="1" applyFont="1" applyBorder="1" applyProtection="1">
      <protection locked="0"/>
    </xf>
    <xf numFmtId="10" fontId="17" fillId="6" borderId="12" xfId="3" applyNumberFormat="1" applyFont="1" applyFill="1" applyBorder="1" applyAlignment="1" applyProtection="1">
      <alignment vertical="center"/>
      <protection locked="0"/>
    </xf>
    <xf numFmtId="14" fontId="20" fillId="0" borderId="15" xfId="4" applyNumberFormat="1" applyFont="1" applyBorder="1" applyAlignment="1" applyProtection="1">
      <alignment horizontal="right" vertical="top"/>
      <protection locked="0"/>
    </xf>
    <xf numFmtId="14" fontId="20" fillId="0" borderId="11" xfId="4" applyNumberFormat="1" applyFont="1" applyBorder="1" applyAlignment="1" applyProtection="1">
      <alignment horizontal="right" vertical="top"/>
      <protection locked="0"/>
    </xf>
    <xf numFmtId="14" fontId="20" fillId="0" borderId="16" xfId="4" applyNumberFormat="1" applyFont="1" applyBorder="1" applyAlignment="1" applyProtection="1">
      <alignment horizontal="right" vertical="top"/>
      <protection locked="0"/>
    </xf>
    <xf numFmtId="14" fontId="17" fillId="0" borderId="16" xfId="4" applyNumberFormat="1" applyFont="1" applyBorder="1" applyAlignment="1" applyProtection="1">
      <alignment vertical="center"/>
      <protection locked="0"/>
    </xf>
    <xf numFmtId="0" fontId="17" fillId="0" borderId="16" xfId="4" applyFont="1" applyBorder="1" applyAlignment="1" applyProtection="1">
      <alignment vertical="top"/>
      <protection locked="0"/>
    </xf>
    <xf numFmtId="14" fontId="20" fillId="0" borderId="17" xfId="4" applyNumberFormat="1" applyFont="1" applyBorder="1" applyAlignment="1" applyProtection="1">
      <alignment vertical="top"/>
      <protection locked="0"/>
    </xf>
    <xf numFmtId="14" fontId="17" fillId="0" borderId="17" xfId="4" applyNumberFormat="1" applyFont="1" applyBorder="1" applyAlignment="1" applyProtection="1">
      <alignment vertical="center"/>
      <protection locked="0"/>
    </xf>
    <xf numFmtId="0" fontId="17" fillId="0" borderId="17" xfId="4" applyFont="1" applyBorder="1" applyAlignment="1" applyProtection="1">
      <alignment vertical="top"/>
      <protection locked="0"/>
    </xf>
    <xf numFmtId="0" fontId="17" fillId="0" borderId="14" xfId="4" applyFont="1" applyBorder="1" applyAlignment="1" applyProtection="1">
      <alignment vertical="center"/>
      <protection locked="0"/>
    </xf>
    <xf numFmtId="10" fontId="17" fillId="6" borderId="12" xfId="3" applyNumberFormat="1" applyFont="1" applyFill="1" applyBorder="1" applyAlignment="1" applyProtection="1">
      <alignment vertical="center"/>
    </xf>
    <xf numFmtId="14" fontId="17" fillId="0" borderId="18" xfId="4" applyNumberFormat="1" applyFont="1" applyBorder="1" applyAlignment="1" applyProtection="1">
      <alignment horizontal="right" vertical="top"/>
      <protection locked="0"/>
    </xf>
    <xf numFmtId="14" fontId="17" fillId="0" borderId="18" xfId="4" applyNumberFormat="1" applyFont="1" applyBorder="1" applyAlignment="1" applyProtection="1">
      <alignment vertical="center"/>
      <protection locked="0"/>
    </xf>
    <xf numFmtId="0" fontId="17" fillId="0" borderId="18" xfId="4" applyFont="1" applyBorder="1" applyAlignment="1" applyProtection="1">
      <alignment vertical="top"/>
      <protection locked="0"/>
    </xf>
    <xf numFmtId="0" fontId="17" fillId="0" borderId="18" xfId="4" applyFont="1" applyBorder="1" applyAlignment="1" applyProtection="1">
      <alignment vertical="center"/>
      <protection locked="0"/>
    </xf>
    <xf numFmtId="14" fontId="16" fillId="0" borderId="0" xfId="4" applyNumberFormat="1" applyFont="1" applyAlignment="1" applyProtection="1">
      <alignment vertical="top"/>
      <protection locked="0"/>
    </xf>
    <xf numFmtId="14" fontId="16" fillId="0" borderId="0" xfId="4" applyNumberFormat="1" applyFont="1" applyAlignment="1" applyProtection="1">
      <alignment vertical="center"/>
      <protection locked="0"/>
    </xf>
    <xf numFmtId="0" fontId="16" fillId="0" borderId="0" xfId="4" applyFont="1" applyAlignment="1" applyProtection="1">
      <alignment vertical="top"/>
      <protection locked="0"/>
    </xf>
    <xf numFmtId="14" fontId="16" fillId="0" borderId="0" xfId="4" applyNumberFormat="1" applyFont="1" applyProtection="1">
      <protection locked="0"/>
    </xf>
    <xf numFmtId="180" fontId="16" fillId="0" borderId="0" xfId="3" applyNumberFormat="1" applyFont="1" applyFill="1" applyBorder="1" applyAlignment="1" applyProtection="1">
      <alignment vertical="center"/>
      <protection locked="0"/>
    </xf>
    <xf numFmtId="0" fontId="16" fillId="0" borderId="0" xfId="4" applyFont="1" applyProtection="1">
      <protection locked="0"/>
    </xf>
    <xf numFmtId="1" fontId="16" fillId="0" borderId="0" xfId="4" applyNumberFormat="1" applyFont="1" applyAlignment="1" applyProtection="1">
      <alignment vertical="center"/>
      <protection locked="0"/>
    </xf>
    <xf numFmtId="176" fontId="16" fillId="0" borderId="0" xfId="4" applyNumberFormat="1" applyFont="1" applyAlignment="1" applyProtection="1">
      <alignment vertical="center"/>
      <protection locked="0"/>
    </xf>
    <xf numFmtId="0" fontId="14" fillId="0" borderId="0" xfId="4" applyFont="1" applyAlignment="1">
      <alignment vertical="center"/>
    </xf>
    <xf numFmtId="0" fontId="16" fillId="7" borderId="1" xfId="4" applyFont="1" applyFill="1" applyBorder="1" applyAlignment="1">
      <alignment horizontal="left" wrapText="1"/>
    </xf>
    <xf numFmtId="14" fontId="16" fillId="0" borderId="0" xfId="4" applyNumberFormat="1" applyFont="1"/>
    <xf numFmtId="14" fontId="16" fillId="3" borderId="0" xfId="4" applyNumberFormat="1" applyFont="1" applyFill="1" applyAlignment="1">
      <alignment vertical="top"/>
    </xf>
    <xf numFmtId="14" fontId="22" fillId="4" borderId="19" xfId="4" applyNumberFormat="1" applyFont="1" applyFill="1" applyBorder="1" applyAlignment="1">
      <alignment horizontal="center" vertical="center"/>
    </xf>
    <xf numFmtId="14" fontId="16" fillId="0" borderId="0" xfId="4" applyNumberFormat="1" applyFont="1" applyAlignment="1">
      <alignment horizontal="center" vertical="center"/>
    </xf>
    <xf numFmtId="14" fontId="16" fillId="8" borderId="19" xfId="4" applyNumberFormat="1" applyFont="1" applyFill="1" applyBorder="1" applyProtection="1">
      <protection locked="0"/>
    </xf>
    <xf numFmtId="14" fontId="16" fillId="0" borderId="19" xfId="4" applyNumberFormat="1" applyFont="1" applyBorder="1" applyProtection="1">
      <protection locked="0"/>
    </xf>
    <xf numFmtId="0" fontId="23" fillId="0" borderId="0" xfId="4" applyFont="1"/>
    <xf numFmtId="14" fontId="16" fillId="0" borderId="19" xfId="4" applyNumberFormat="1" applyFont="1" applyBorder="1"/>
    <xf numFmtId="0" fontId="26" fillId="0" borderId="0" xfId="4" applyFont="1" applyAlignment="1" applyProtection="1">
      <alignment horizontal="center"/>
      <protection locked="0"/>
    </xf>
    <xf numFmtId="14" fontId="26" fillId="0" borderId="0" xfId="4" applyNumberFormat="1" applyFont="1" applyAlignment="1" applyProtection="1">
      <alignment horizontal="center"/>
      <protection locked="0"/>
    </xf>
    <xf numFmtId="0" fontId="26" fillId="0" borderId="0" xfId="4" applyFont="1" applyProtection="1">
      <protection locked="0"/>
    </xf>
    <xf numFmtId="0" fontId="26" fillId="0" borderId="0" xfId="4" applyFont="1" applyAlignment="1" applyProtection="1">
      <alignment horizontal="right"/>
      <protection locked="0"/>
    </xf>
    <xf numFmtId="0" fontId="26" fillId="0" borderId="0" xfId="4" applyFont="1" applyAlignment="1" applyProtection="1">
      <alignment horizontal="left"/>
      <protection locked="0"/>
    </xf>
    <xf numFmtId="14" fontId="26" fillId="0" borderId="0" xfId="4" applyNumberFormat="1" applyFont="1" applyProtection="1">
      <protection locked="0"/>
    </xf>
    <xf numFmtId="14" fontId="26" fillId="0" borderId="0" xfId="4" applyNumberFormat="1" applyFont="1" applyAlignment="1" applyProtection="1">
      <alignment horizontal="left"/>
      <protection locked="0"/>
    </xf>
    <xf numFmtId="10" fontId="12" fillId="0" borderId="7" xfId="6" applyNumberFormat="1" applyFont="1" applyFill="1" applyBorder="1" applyAlignment="1" applyProtection="1">
      <alignment horizontal="right" vertical="top" wrapText="1"/>
      <protection locked="0"/>
    </xf>
    <xf numFmtId="0" fontId="17" fillId="9" borderId="20" xfId="4" applyFont="1" applyFill="1" applyBorder="1" applyAlignment="1">
      <alignment horizontal="left" vertical="top"/>
    </xf>
    <xf numFmtId="0" fontId="17" fillId="0" borderId="0" xfId="4" applyFont="1" applyAlignment="1">
      <alignment horizontal="left" vertical="top"/>
    </xf>
    <xf numFmtId="0" fontId="17" fillId="0" borderId="0" xfId="4" applyFont="1" applyAlignment="1">
      <alignment vertical="top"/>
    </xf>
    <xf numFmtId="0" fontId="17" fillId="0" borderId="0" xfId="4" quotePrefix="1" applyFont="1" applyAlignment="1">
      <alignment horizontal="left" vertical="top"/>
    </xf>
    <xf numFmtId="14" fontId="17" fillId="0" borderId="0" xfId="4" applyNumberFormat="1" applyFont="1" applyAlignment="1">
      <alignment horizontal="left" vertical="top"/>
    </xf>
    <xf numFmtId="0" fontId="17" fillId="0" borderId="20" xfId="4" applyFont="1" applyBorder="1" applyAlignment="1">
      <alignment vertical="top"/>
    </xf>
    <xf numFmtId="0" fontId="17" fillId="0" borderId="20" xfId="4" applyFont="1" applyBorder="1" applyAlignment="1">
      <alignment horizontal="left" vertical="top"/>
    </xf>
    <xf numFmtId="1" fontId="17" fillId="0" borderId="0" xfId="4" applyNumberFormat="1" applyFont="1" applyAlignment="1">
      <alignment horizontal="left" vertical="top"/>
    </xf>
    <xf numFmtId="22" fontId="17" fillId="0" borderId="0" xfId="4" applyNumberFormat="1" applyFont="1" applyAlignment="1">
      <alignment horizontal="left" vertical="top"/>
    </xf>
    <xf numFmtId="14" fontId="17" fillId="0" borderId="0" xfId="4" applyNumberFormat="1" applyFont="1" applyAlignment="1">
      <alignment vertical="top"/>
    </xf>
    <xf numFmtId="0" fontId="25" fillId="0" borderId="0" xfId="0" applyFont="1"/>
    <xf numFmtId="178" fontId="13" fillId="5" borderId="4" xfId="4" applyNumberFormat="1" applyFont="1" applyFill="1" applyBorder="1" applyAlignment="1">
      <alignment horizontal="left" vertical="center"/>
    </xf>
    <xf numFmtId="178" fontId="13" fillId="5" borderId="5" xfId="4" applyNumberFormat="1" applyFont="1" applyFill="1" applyBorder="1" applyAlignment="1">
      <alignment horizontal="left" vertical="center"/>
    </xf>
    <xf numFmtId="0" fontId="12" fillId="0" borderId="9" xfId="4" applyFont="1" applyBorder="1" applyAlignment="1" applyProtection="1">
      <alignment horizontal="left" vertical="center"/>
      <protection locked="0"/>
    </xf>
    <xf numFmtId="178" fontId="13" fillId="5" borderId="6" xfId="4" applyNumberFormat="1" applyFont="1" applyFill="1" applyBorder="1" applyAlignment="1">
      <alignment horizontal="left" vertical="center"/>
    </xf>
    <xf numFmtId="0" fontId="12" fillId="0" borderId="7" xfId="4" applyFont="1" applyBorder="1" applyAlignment="1" applyProtection="1">
      <alignment vertical="top"/>
      <protection locked="0"/>
    </xf>
    <xf numFmtId="0" fontId="12" fillId="0" borderId="10" xfId="4" applyFont="1" applyBorder="1" applyAlignment="1" applyProtection="1">
      <alignment vertical="top"/>
      <protection locked="0"/>
    </xf>
    <xf numFmtId="14" fontId="16" fillId="8" borderId="19" xfId="0" applyNumberFormat="1" applyFont="1" applyFill="1" applyBorder="1" applyProtection="1">
      <protection locked="0"/>
    </xf>
    <xf numFmtId="14" fontId="16" fillId="0" borderId="19" xfId="0" applyNumberFormat="1" applyFont="1" applyBorder="1" applyProtection="1">
      <protection locked="0"/>
    </xf>
    <xf numFmtId="0" fontId="13" fillId="0" borderId="1" xfId="4" applyFont="1" applyBorder="1" applyAlignment="1">
      <alignment horizontal="left" vertical="center"/>
    </xf>
    <xf numFmtId="0" fontId="13" fillId="0" borderId="2" xfId="4" applyFont="1" applyBorder="1" applyAlignment="1">
      <alignment horizontal="left" vertical="center"/>
    </xf>
    <xf numFmtId="0" fontId="12" fillId="0" borderId="21" xfId="4" applyFont="1" applyBorder="1" applyAlignment="1" applyProtection="1">
      <alignment horizontal="left" vertical="center"/>
      <protection locked="0"/>
    </xf>
    <xf numFmtId="0" fontId="11" fillId="4" borderId="1" xfId="4" applyFont="1" applyFill="1" applyBorder="1" applyAlignment="1">
      <alignment horizontal="center" vertical="center"/>
    </xf>
    <xf numFmtId="0" fontId="11" fillId="4" borderId="1" xfId="4" applyFont="1" applyFill="1" applyBorder="1" applyAlignment="1">
      <alignment horizontal="center" vertical="center" wrapText="1"/>
    </xf>
    <xf numFmtId="0" fontId="34" fillId="0" borderId="0" xfId="0" applyFont="1" applyAlignment="1">
      <alignment vertical="top"/>
    </xf>
    <xf numFmtId="0" fontId="34" fillId="0" borderId="0" xfId="0" applyFont="1" applyAlignment="1">
      <alignment vertical="top" wrapText="1"/>
    </xf>
    <xf numFmtId="0" fontId="35" fillId="0" borderId="0" xfId="5" applyFont="1" applyAlignment="1">
      <alignment horizontal="left" vertical="top" wrapText="1"/>
    </xf>
    <xf numFmtId="0" fontId="35" fillId="0" borderId="0" xfId="5" applyFont="1" applyAlignment="1">
      <alignment horizontal="left" vertical="top"/>
    </xf>
    <xf numFmtId="0" fontId="12" fillId="0" borderId="0" xfId="4" applyFont="1" applyAlignment="1">
      <alignment vertical="top"/>
    </xf>
    <xf numFmtId="0" fontId="12" fillId="0" borderId="0" xfId="5" applyFont="1" applyAlignment="1">
      <alignment horizontal="left" vertical="top"/>
    </xf>
    <xf numFmtId="14" fontId="35" fillId="0" borderId="0" xfId="5" applyNumberFormat="1" applyFont="1" applyAlignment="1">
      <alignment horizontal="left" vertical="top" wrapText="1"/>
    </xf>
    <xf numFmtId="0" fontId="25" fillId="0" borderId="0" xfId="5" applyFont="1" applyAlignment="1">
      <alignment horizontal="left" vertical="top" wrapText="1"/>
    </xf>
    <xf numFmtId="0" fontId="16" fillId="0" borderId="0" xfId="4" applyFont="1" applyAlignment="1">
      <alignment vertical="top"/>
    </xf>
    <xf numFmtId="0" fontId="39" fillId="0" borderId="0" xfId="0" applyFont="1" applyAlignment="1">
      <alignment vertical="top"/>
    </xf>
    <xf numFmtId="0" fontId="40" fillId="0" borderId="0" xfId="5" applyFont="1" applyAlignment="1">
      <alignment horizontal="left" vertical="top" wrapText="1"/>
    </xf>
    <xf numFmtId="0" fontId="38" fillId="0" borderId="0" xfId="5" applyFont="1" applyAlignment="1">
      <alignment horizontal="left" vertical="top"/>
    </xf>
    <xf numFmtId="0" fontId="34" fillId="0" borderId="0" xfId="0" applyFont="1" applyAlignment="1">
      <alignment horizontal="center" vertical="top"/>
    </xf>
    <xf numFmtId="0" fontId="35" fillId="0" borderId="0" xfId="0" applyFont="1" applyAlignment="1">
      <alignment vertical="top" wrapText="1"/>
    </xf>
    <xf numFmtId="0" fontId="14"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33" fillId="11" borderId="0" xfId="1" applyNumberFormat="1" applyFont="1" applyFill="1" applyBorder="1" applyAlignment="1">
      <alignment horizontal="left" vertical="top" wrapText="1"/>
    </xf>
    <xf numFmtId="0" fontId="19" fillId="11" borderId="0" xfId="1" applyFont="1" applyFill="1" applyBorder="1" applyAlignment="1">
      <alignment horizontal="center" vertical="top"/>
    </xf>
    <xf numFmtId="0" fontId="14"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4"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9" fillId="11" borderId="0" xfId="2" applyFont="1" applyFill="1" applyBorder="1" applyAlignment="1">
      <alignment vertical="top" wrapText="1"/>
    </xf>
    <xf numFmtId="0" fontId="19" fillId="11" borderId="0" xfId="2" applyNumberFormat="1" applyFont="1" applyFill="1" applyBorder="1" applyAlignment="1">
      <alignment vertical="top"/>
    </xf>
    <xf numFmtId="0" fontId="19"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4" fillId="11" borderId="0" xfId="1" applyFont="1" applyFill="1" applyBorder="1" applyAlignment="1">
      <alignment horizontal="left" vertical="center"/>
    </xf>
    <xf numFmtId="0" fontId="29" fillId="11" borderId="0" xfId="1" applyFont="1" applyFill="1" applyBorder="1" applyAlignment="1">
      <alignment horizontal="left" vertical="top"/>
    </xf>
    <xf numFmtId="0" fontId="30" fillId="11" borderId="0" xfId="1" applyFont="1" applyFill="1" applyBorder="1" applyAlignment="1">
      <alignment horizontal="left" vertical="top"/>
    </xf>
    <xf numFmtId="0" fontId="31" fillId="11" borderId="0" xfId="2" applyNumberFormat="1" applyFont="1" applyFill="1" applyBorder="1" applyAlignment="1">
      <alignment horizontal="right" vertical="center"/>
    </xf>
    <xf numFmtId="10" fontId="31" fillId="11" borderId="0" xfId="3" applyNumberFormat="1" applyFont="1" applyFill="1" applyBorder="1" applyAlignment="1">
      <alignment horizontal="right" vertical="center"/>
    </xf>
    <xf numFmtId="0" fontId="32" fillId="11" borderId="0" xfId="2" applyNumberFormat="1" applyFont="1" applyFill="1" applyBorder="1" applyAlignment="1">
      <alignment vertical="top"/>
    </xf>
    <xf numFmtId="0" fontId="32" fillId="11" borderId="0" xfId="2" applyNumberFormat="1" applyFont="1" applyFill="1" applyBorder="1" applyAlignment="1">
      <alignment horizontal="right" vertical="top"/>
    </xf>
    <xf numFmtId="0" fontId="28" fillId="11" borderId="0" xfId="1" applyFont="1" applyFill="1" applyBorder="1" applyAlignment="1">
      <alignment horizontal="left" vertical="center"/>
    </xf>
    <xf numFmtId="0" fontId="36" fillId="0" borderId="0" xfId="0" applyFont="1" applyAlignment="1">
      <alignment vertical="top" wrapText="1"/>
    </xf>
    <xf numFmtId="0" fontId="41" fillId="0" borderId="0" xfId="0" applyFont="1" applyAlignment="1">
      <alignment vertical="top" wrapText="1"/>
    </xf>
    <xf numFmtId="0" fontId="37" fillId="0" borderId="0" xfId="5" applyFont="1" applyAlignment="1">
      <alignment horizontal="left" vertical="top" wrapText="1"/>
    </xf>
    <xf numFmtId="0" fontId="12" fillId="0" borderId="22" xfId="4" applyFont="1" applyBorder="1" applyAlignment="1" applyProtection="1">
      <alignment vertical="top"/>
      <protection locked="0"/>
    </xf>
    <xf numFmtId="0" fontId="12" fillId="0" borderId="22" xfId="4" applyFont="1" applyBorder="1" applyAlignment="1" applyProtection="1">
      <alignment horizontal="right" vertical="top"/>
      <protection locked="0"/>
    </xf>
    <xf numFmtId="0" fontId="12" fillId="0" borderId="22" xfId="4" applyFont="1" applyBorder="1" applyAlignment="1" applyProtection="1">
      <alignment horizontal="left" vertical="top"/>
      <protection locked="0"/>
    </xf>
    <xf numFmtId="14" fontId="12" fillId="0" borderId="22" xfId="4" applyNumberFormat="1" applyFont="1" applyBorder="1" applyAlignment="1" applyProtection="1">
      <alignment horizontal="center" vertical="top"/>
      <protection locked="0"/>
    </xf>
    <xf numFmtId="176" fontId="12" fillId="0" borderId="22" xfId="4" applyNumberFormat="1" applyFont="1" applyBorder="1" applyAlignment="1" applyProtection="1">
      <alignment horizontal="center" vertical="top"/>
      <protection locked="0"/>
    </xf>
    <xf numFmtId="0" fontId="12" fillId="0" borderId="22" xfId="4" applyFont="1" applyBorder="1" applyAlignment="1" applyProtection="1">
      <alignment horizontal="center" vertical="top"/>
      <protection locked="0"/>
    </xf>
    <xf numFmtId="177" fontId="12" fillId="0" borderId="22" xfId="4" applyNumberFormat="1" applyFont="1" applyBorder="1" applyAlignment="1" applyProtection="1">
      <alignment horizontal="center" vertical="top"/>
      <protection locked="0"/>
    </xf>
    <xf numFmtId="1" fontId="12" fillId="0" borderId="22" xfId="4" applyNumberFormat="1" applyFont="1" applyBorder="1" applyAlignment="1" applyProtection="1">
      <alignment horizontal="center" vertical="top"/>
      <protection locked="0"/>
    </xf>
    <xf numFmtId="179" fontId="12" fillId="0" borderId="22" xfId="4" applyNumberFormat="1" applyFont="1" applyBorder="1" applyAlignment="1" applyProtection="1">
      <alignment horizontal="center" vertical="top"/>
      <protection locked="0"/>
    </xf>
    <xf numFmtId="14" fontId="12" fillId="0" borderId="22" xfId="4" applyNumberFormat="1" applyFont="1" applyBorder="1" applyAlignment="1" applyProtection="1">
      <alignment horizontal="left" vertical="top"/>
      <protection locked="0"/>
    </xf>
    <xf numFmtId="10" fontId="12" fillId="0" borderId="22" xfId="3" applyNumberFormat="1" applyFont="1" applyFill="1" applyBorder="1" applyAlignment="1" applyProtection="1">
      <alignment horizontal="right" vertical="top" wrapText="1"/>
      <protection locked="0"/>
    </xf>
    <xf numFmtId="10" fontId="12" fillId="0" borderId="22" xfId="3" applyNumberFormat="1" applyFont="1" applyFill="1" applyBorder="1" applyAlignment="1" applyProtection="1">
      <alignment horizontal="right" vertical="top"/>
      <protection locked="0"/>
    </xf>
    <xf numFmtId="0" fontId="12" fillId="0" borderId="23" xfId="4" applyFont="1" applyBorder="1" applyAlignment="1" applyProtection="1">
      <alignment horizontal="left" vertical="center"/>
      <protection locked="0"/>
    </xf>
    <xf numFmtId="0" fontId="16" fillId="7" borderId="2" xfId="4" applyFont="1" applyFill="1" applyBorder="1" applyAlignment="1">
      <alignment horizontal="left" wrapText="1"/>
    </xf>
    <xf numFmtId="0" fontId="12" fillId="0" borderId="7" xfId="4" applyFont="1" applyBorder="1" applyAlignment="1" applyProtection="1">
      <alignment horizontal="left" vertical="top"/>
      <protection locked="0"/>
    </xf>
    <xf numFmtId="14" fontId="12" fillId="0" borderId="7" xfId="4" applyNumberFormat="1" applyFont="1" applyBorder="1" applyAlignment="1" applyProtection="1">
      <alignment horizontal="center" vertical="top"/>
      <protection locked="0"/>
    </xf>
    <xf numFmtId="176" fontId="12" fillId="0" borderId="7" xfId="4" applyNumberFormat="1" applyFont="1" applyBorder="1" applyAlignment="1" applyProtection="1">
      <alignment horizontal="center" vertical="top"/>
      <protection locked="0"/>
    </xf>
    <xf numFmtId="0" fontId="12" fillId="0" borderId="7" xfId="4" applyFont="1" applyBorder="1" applyAlignment="1" applyProtection="1">
      <alignment horizontal="center" vertical="top"/>
      <protection locked="0"/>
    </xf>
    <xf numFmtId="177" fontId="12" fillId="0" borderId="7" xfId="4" applyNumberFormat="1" applyFont="1" applyBorder="1" applyAlignment="1" applyProtection="1">
      <alignment horizontal="center" vertical="top"/>
      <protection locked="0"/>
    </xf>
    <xf numFmtId="1" fontId="12" fillId="0" borderId="7" xfId="4" applyNumberFormat="1" applyFont="1" applyBorder="1" applyAlignment="1" applyProtection="1">
      <alignment horizontal="center" vertical="top"/>
      <protection locked="0"/>
    </xf>
    <xf numFmtId="179" fontId="12" fillId="0" borderId="7" xfId="4" applyNumberFormat="1" applyFont="1" applyBorder="1" applyAlignment="1" applyProtection="1">
      <alignment horizontal="center" vertical="top"/>
      <protection locked="0"/>
    </xf>
    <xf numFmtId="14" fontId="12" fillId="0" borderId="7" xfId="4" applyNumberFormat="1" applyFont="1" applyBorder="1" applyAlignment="1" applyProtection="1">
      <alignment horizontal="left" vertical="top"/>
      <protection locked="0"/>
    </xf>
    <xf numFmtId="10" fontId="12" fillId="0" borderId="7" xfId="6" applyNumberFormat="1" applyFont="1" applyFill="1" applyBorder="1" applyAlignment="1" applyProtection="1">
      <alignment horizontal="right" vertical="top"/>
      <protection locked="0"/>
    </xf>
    <xf numFmtId="0" fontId="12" fillId="0" borderId="25" xfId="4" applyFont="1" applyBorder="1" applyAlignment="1" applyProtection="1">
      <alignment vertical="top"/>
      <protection locked="0"/>
    </xf>
    <xf numFmtId="0" fontId="12" fillId="0" borderId="25" xfId="4" quotePrefix="1" applyFont="1" applyBorder="1" applyAlignment="1" applyProtection="1">
      <alignment horizontal="right" vertical="top"/>
      <protection locked="0"/>
    </xf>
    <xf numFmtId="0" fontId="12" fillId="0" borderId="25" xfId="4" applyFont="1" applyBorder="1" applyAlignment="1" applyProtection="1">
      <alignment horizontal="left" vertical="top"/>
      <protection locked="0"/>
    </xf>
    <xf numFmtId="14" fontId="12" fillId="0" borderId="25" xfId="4" applyNumberFormat="1" applyFont="1" applyBorder="1" applyAlignment="1" applyProtection="1">
      <alignment horizontal="center" vertical="top"/>
      <protection locked="0"/>
    </xf>
    <xf numFmtId="176" fontId="12" fillId="0" borderId="25" xfId="4" applyNumberFormat="1" applyFont="1" applyBorder="1" applyAlignment="1" applyProtection="1">
      <alignment horizontal="center" vertical="top"/>
      <protection locked="0"/>
    </xf>
    <xf numFmtId="0" fontId="12" fillId="0" borderId="25" xfId="4" applyFont="1" applyBorder="1" applyAlignment="1" applyProtection="1">
      <alignment horizontal="center" vertical="top"/>
      <protection locked="0"/>
    </xf>
    <xf numFmtId="177" fontId="12" fillId="0" borderId="25" xfId="4" applyNumberFormat="1" applyFont="1" applyBorder="1" applyAlignment="1" applyProtection="1">
      <alignment horizontal="center" vertical="top"/>
      <protection locked="0"/>
    </xf>
    <xf numFmtId="1" fontId="12" fillId="0" borderId="25" xfId="4" applyNumberFormat="1" applyFont="1" applyBorder="1" applyAlignment="1" applyProtection="1">
      <alignment horizontal="center" vertical="top"/>
      <protection locked="0"/>
    </xf>
    <xf numFmtId="179" fontId="12" fillId="0" borderId="25" xfId="4" applyNumberFormat="1" applyFont="1" applyBorder="1" applyAlignment="1" applyProtection="1">
      <alignment horizontal="center" vertical="top"/>
      <protection locked="0"/>
    </xf>
    <xf numFmtId="14" fontId="12" fillId="0" borderId="25" xfId="4" applyNumberFormat="1" applyFont="1" applyBorder="1" applyAlignment="1" applyProtection="1">
      <alignment horizontal="left" vertical="top"/>
      <protection locked="0"/>
    </xf>
    <xf numFmtId="10" fontId="12" fillId="0" borderId="25" xfId="6" applyNumberFormat="1" applyFont="1" applyFill="1" applyBorder="1" applyAlignment="1" applyProtection="1">
      <alignment horizontal="right" vertical="top" wrapText="1"/>
      <protection locked="0"/>
    </xf>
    <xf numFmtId="10" fontId="12" fillId="0" borderId="25" xfId="6" applyNumberFormat="1" applyFont="1" applyFill="1" applyBorder="1" applyAlignment="1" applyProtection="1">
      <alignment horizontal="right" vertical="top"/>
      <protection locked="0"/>
    </xf>
    <xf numFmtId="0" fontId="12" fillId="0" borderId="7" xfId="4" applyFont="1" applyBorder="1" applyAlignment="1" applyProtection="1">
      <alignment horizontal="right" vertical="top"/>
      <protection locked="0"/>
    </xf>
    <xf numFmtId="14" fontId="16" fillId="0" borderId="15" xfId="4" applyNumberFormat="1" applyFont="1" applyBorder="1"/>
    <xf numFmtId="0" fontId="16" fillId="0" borderId="15" xfId="4" applyFont="1" applyBorder="1"/>
    <xf numFmtId="14" fontId="16" fillId="0" borderId="26" xfId="4" applyNumberFormat="1" applyFont="1" applyBorder="1"/>
    <xf numFmtId="0" fontId="16" fillId="0" borderId="26" xfId="4" applyFont="1" applyBorder="1"/>
    <xf numFmtId="0" fontId="16" fillId="7" borderId="3" xfId="4" applyFont="1" applyFill="1" applyBorder="1" applyAlignment="1">
      <alignment horizontal="left" wrapText="1"/>
    </xf>
    <xf numFmtId="0" fontId="16" fillId="0" borderId="0" xfId="4" applyFont="1"/>
    <xf numFmtId="10" fontId="16" fillId="0" borderId="15" xfId="6" applyNumberFormat="1" applyFont="1" applyBorder="1" applyAlignment="1"/>
    <xf numFmtId="10" fontId="16" fillId="0" borderId="26" xfId="6" applyNumberFormat="1" applyFont="1" applyBorder="1" applyAlignment="1"/>
    <xf numFmtId="178" fontId="11" fillId="5" borderId="4" xfId="1" applyNumberFormat="1" applyFont="1" applyFill="1" applyBorder="1" applyAlignment="1">
      <alignment horizontal="left" vertical="center"/>
    </xf>
    <xf numFmtId="178" fontId="11" fillId="5" borderId="5" xfId="1" applyNumberFormat="1" applyFont="1" applyFill="1" applyBorder="1" applyAlignment="1">
      <alignment horizontal="left" vertical="center"/>
    </xf>
    <xf numFmtId="0" fontId="7" fillId="11" borderId="0" xfId="2" applyFont="1" applyFill="1" applyBorder="1" applyAlignment="1">
      <alignment horizontal="left" vertical="center"/>
    </xf>
    <xf numFmtId="178" fontId="11" fillId="5" borderId="6" xfId="1" applyNumberFormat="1" applyFont="1" applyFill="1" applyBorder="1" applyAlignment="1">
      <alignment horizontal="left" vertical="center"/>
    </xf>
    <xf numFmtId="0" fontId="11" fillId="10" borderId="1" xfId="4" applyFont="1" applyFill="1" applyBorder="1" applyAlignment="1">
      <alignment horizontal="center" vertical="center" wrapText="1"/>
    </xf>
    <xf numFmtId="0" fontId="11" fillId="10" borderId="0" xfId="4" applyFont="1" applyFill="1" applyAlignment="1">
      <alignment horizontal="center" vertical="center" wrapText="1"/>
    </xf>
    <xf numFmtId="0" fontId="11" fillId="10" borderId="2" xfId="4" applyFont="1" applyFill="1" applyBorder="1" applyAlignment="1">
      <alignment horizontal="center" vertical="center"/>
    </xf>
    <xf numFmtId="0" fontId="11" fillId="10" borderId="24" xfId="4" applyFont="1" applyFill="1" applyBorder="1" applyAlignment="1">
      <alignment horizontal="center" vertical="center"/>
    </xf>
    <xf numFmtId="0" fontId="11" fillId="10" borderId="2" xfId="4" applyFont="1" applyFill="1" applyBorder="1" applyAlignment="1">
      <alignment horizontal="center" vertical="center" wrapText="1"/>
    </xf>
    <xf numFmtId="0" fontId="11" fillId="5" borderId="2" xfId="4" applyFont="1" applyFill="1" applyBorder="1" applyAlignment="1">
      <alignment horizontal="center" vertical="center"/>
    </xf>
    <xf numFmtId="0" fontId="11" fillId="10" borderId="3" xfId="4" applyFont="1" applyFill="1" applyBorder="1" applyAlignment="1">
      <alignment horizontal="center" vertical="center"/>
    </xf>
    <xf numFmtId="0" fontId="11" fillId="10" borderId="0" xfId="4" applyFont="1" applyFill="1" applyAlignment="1">
      <alignment horizontal="center" vertical="center"/>
    </xf>
    <xf numFmtId="0" fontId="11" fillId="10" borderId="1" xfId="4" applyFont="1" applyFill="1" applyBorder="1" applyAlignment="1">
      <alignment horizontal="center" vertical="center"/>
    </xf>
    <xf numFmtId="14" fontId="31" fillId="11" borderId="0" xfId="3" applyNumberFormat="1" applyFont="1" applyFill="1" applyBorder="1" applyAlignment="1">
      <alignment horizontal="center" vertical="center" wrapText="1"/>
    </xf>
    <xf numFmtId="14" fontId="11" fillId="10" borderId="2" xfId="4" applyNumberFormat="1" applyFont="1" applyFill="1" applyBorder="1" applyAlignment="1">
      <alignment horizontal="center" vertical="center"/>
    </xf>
    <xf numFmtId="176" fontId="11" fillId="5" borderId="2" xfId="4" applyNumberFormat="1" applyFont="1" applyFill="1" applyBorder="1" applyAlignment="1">
      <alignment horizontal="center" vertical="center" wrapText="1"/>
    </xf>
    <xf numFmtId="10" fontId="11" fillId="10" borderId="3" xfId="3" applyNumberFormat="1" applyFont="1" applyFill="1" applyBorder="1" applyAlignment="1" applyProtection="1">
      <alignment horizontal="center" vertical="center" wrapText="1"/>
    </xf>
    <xf numFmtId="14" fontId="11" fillId="10" borderId="2" xfId="4" applyNumberFormat="1" applyFont="1" applyFill="1" applyBorder="1" applyAlignment="1">
      <alignment horizontal="center" vertical="center" wrapText="1"/>
    </xf>
    <xf numFmtId="177" fontId="11" fillId="5" borderId="2" xfId="4" applyNumberFormat="1" applyFont="1" applyFill="1" applyBorder="1" applyAlignment="1">
      <alignment horizontal="center" vertical="center" wrapText="1"/>
    </xf>
    <xf numFmtId="1" fontId="11" fillId="5" borderId="2" xfId="4" applyNumberFormat="1" applyFont="1" applyFill="1" applyBorder="1" applyAlignment="1">
      <alignment horizontal="center" vertical="center" wrapText="1"/>
    </xf>
    <xf numFmtId="176" fontId="11" fillId="10" borderId="2" xfId="4" applyNumberFormat="1" applyFont="1" applyFill="1" applyBorder="1" applyAlignment="1">
      <alignment horizontal="center" vertical="center"/>
    </xf>
    <xf numFmtId="10" fontId="11" fillId="5" borderId="2" xfId="3" applyNumberFormat="1" applyFont="1" applyFill="1" applyBorder="1" applyAlignment="1" applyProtection="1">
      <alignment horizontal="center" vertical="center" wrapText="1"/>
    </xf>
    <xf numFmtId="0" fontId="17" fillId="0" borderId="0" xfId="4" applyFont="1" applyAlignment="1" applyProtection="1">
      <alignment horizontal="left" vertical="center" wrapText="1"/>
      <protection locked="0"/>
    </xf>
    <xf numFmtId="0" fontId="17" fillId="0" borderId="0" xfId="4" applyFont="1" applyAlignment="1" applyProtection="1">
      <alignment horizontal="left" vertical="center"/>
      <protection locked="0"/>
    </xf>
    <xf numFmtId="0" fontId="14" fillId="0" borderId="0" xfId="1" applyFont="1" applyFill="1" applyBorder="1" applyAlignment="1">
      <alignment horizontal="left" vertical="center"/>
    </xf>
    <xf numFmtId="0" fontId="10" fillId="0" borderId="0" xfId="1" applyFont="1" applyFill="1" applyBorder="1" applyAlignment="1">
      <alignment horizontal="left" vertical="center"/>
    </xf>
    <xf numFmtId="14" fontId="18" fillId="3" borderId="0" xfId="4" applyNumberFormat="1" applyFont="1" applyFill="1" applyAlignment="1">
      <alignment horizontal="right" vertical="center"/>
    </xf>
    <xf numFmtId="14" fontId="16" fillId="3" borderId="0" xfId="4" applyNumberFormat="1" applyFont="1" applyFill="1" applyAlignment="1">
      <alignment horizontal="left" vertical="top" wrapText="1"/>
    </xf>
    <xf numFmtId="14" fontId="21" fillId="8" borderId="19"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3">
    <dxf>
      <fill>
        <patternFill>
          <bgColor rgb="FFFFC000"/>
        </patternFill>
      </fill>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s>
  <tableStyles count="0" defaultTableStyle="TableStyleMedium2" defaultPivotStyle="PivotStyleLight16"/>
  <colors>
    <mruColors>
      <color rgb="FFFF8800"/>
      <color rgb="FFFF6600"/>
      <color rgb="FFFF9933"/>
      <color rgb="FFFF3300"/>
      <color rgb="FFE2ECFF"/>
      <color rgb="FF3399FF"/>
      <color rgb="FFF2F2FF"/>
      <color rgb="FFF3FFF9"/>
      <color rgb="FFE5FFF2"/>
      <color rgb="FFD9FFE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AnalysisReport!$C$7:$C$28</c:f>
              <c:numCache>
                <c:formatCode>m/d/yyyy</c:formatCode>
                <c:ptCount val="22"/>
                <c:pt idx="0">
                  <c:v>43379</c:v>
                </c:pt>
                <c:pt idx="1">
                  <c:v>43386</c:v>
                </c:pt>
                <c:pt idx="2">
                  <c:v>43393</c:v>
                </c:pt>
                <c:pt idx="3">
                  <c:v>43400</c:v>
                </c:pt>
                <c:pt idx="4">
                  <c:v>43407</c:v>
                </c:pt>
                <c:pt idx="5">
                  <c:v>43414</c:v>
                </c:pt>
                <c:pt idx="6">
                  <c:v>43421</c:v>
                </c:pt>
                <c:pt idx="7">
                  <c:v>43428</c:v>
                </c:pt>
                <c:pt idx="8">
                  <c:v>43435</c:v>
                </c:pt>
                <c:pt idx="9">
                  <c:v>43442</c:v>
                </c:pt>
                <c:pt idx="10">
                  <c:v>43449</c:v>
                </c:pt>
                <c:pt idx="11">
                  <c:v>43456</c:v>
                </c:pt>
                <c:pt idx="12">
                  <c:v>43463</c:v>
                </c:pt>
                <c:pt idx="13">
                  <c:v>43470</c:v>
                </c:pt>
                <c:pt idx="14">
                  <c:v>43477</c:v>
                </c:pt>
                <c:pt idx="15">
                  <c:v>43484</c:v>
                </c:pt>
                <c:pt idx="16">
                  <c:v>43491</c:v>
                </c:pt>
                <c:pt idx="17">
                  <c:v>43498</c:v>
                </c:pt>
                <c:pt idx="18">
                  <c:v>43505</c:v>
                </c:pt>
                <c:pt idx="19">
                  <c:v>43512</c:v>
                </c:pt>
                <c:pt idx="20">
                  <c:v>43519</c:v>
                </c:pt>
                <c:pt idx="21">
                  <c:v>43526</c:v>
                </c:pt>
              </c:numCache>
            </c:numRef>
          </c:cat>
          <c:val>
            <c:numRef>
              <c:f>AnalysisReport!$F$7:$F$28</c:f>
              <c:numCache>
                <c:formatCode>0.00%</c:formatCode>
                <c:ptCount val="22"/>
                <c:pt idx="0">
                  <c:v>3.8022813688212928E-3</c:v>
                </c:pt>
                <c:pt idx="1">
                  <c:v>4.1825095057034217E-2</c:v>
                </c:pt>
                <c:pt idx="2">
                  <c:v>9.8859315589353611E-2</c:v>
                </c:pt>
                <c:pt idx="3">
                  <c:v>0.13688212927756654</c:v>
                </c:pt>
                <c:pt idx="4">
                  <c:v>0.17110266159695817</c:v>
                </c:pt>
                <c:pt idx="5">
                  <c:v>0.21673003802281368</c:v>
                </c:pt>
                <c:pt idx="6">
                  <c:v>0.26996197718631176</c:v>
                </c:pt>
                <c:pt idx="7">
                  <c:v>0.29657794676806082</c:v>
                </c:pt>
                <c:pt idx="8">
                  <c:v>0.3269961977186312</c:v>
                </c:pt>
                <c:pt idx="9">
                  <c:v>0.39543726235741444</c:v>
                </c:pt>
                <c:pt idx="10">
                  <c:v>0.46387832699619774</c:v>
                </c:pt>
                <c:pt idx="11">
                  <c:v>0.52851711026615966</c:v>
                </c:pt>
                <c:pt idx="12">
                  <c:v>0.57414448669201523</c:v>
                </c:pt>
                <c:pt idx="13">
                  <c:v>0.62737642585551334</c:v>
                </c:pt>
                <c:pt idx="14">
                  <c:v>0.70722433460076051</c:v>
                </c:pt>
                <c:pt idx="15">
                  <c:v>0.80228136882129275</c:v>
                </c:pt>
                <c:pt idx="16">
                  <c:v>0.89733840304182511</c:v>
                </c:pt>
                <c:pt idx="17">
                  <c:v>0.92775665399239549</c:v>
                </c:pt>
                <c:pt idx="18">
                  <c:v>0.95057034220532322</c:v>
                </c:pt>
                <c:pt idx="19">
                  <c:v>0.96577946768060841</c:v>
                </c:pt>
                <c:pt idx="20">
                  <c:v>0.98479087452471481</c:v>
                </c:pt>
                <c:pt idx="21">
                  <c:v>1</c:v>
                </c:pt>
              </c:numCache>
            </c:numRef>
          </c:val>
          <c:smooth val="0"/>
          <c:extLst>
            <c:ext xmlns:c16="http://schemas.microsoft.com/office/drawing/2014/chart" uri="{C3380CC4-5D6E-409C-BE32-E72D297353CC}">
              <c16:uniqueId val="{00000000-4499-43A6-8B9B-4D5526D8D846}"/>
            </c:ext>
          </c:extLst>
        </c:ser>
        <c:dLbls>
          <c:showLegendKey val="0"/>
          <c:showVal val="0"/>
          <c:showCatName val="0"/>
          <c:showSerName val="0"/>
          <c:showPercent val="0"/>
          <c:showBubbleSize val="0"/>
        </c:dLbls>
        <c:marker val="1"/>
        <c:smooth val="0"/>
        <c:axId val="876246976"/>
        <c:axId val="876250240"/>
      </c:lineChart>
      <c:dateAx>
        <c:axId val="876246976"/>
        <c:scaling>
          <c:orientation val="minMax"/>
        </c:scaling>
        <c:delete val="0"/>
        <c:axPos val="b"/>
        <c:numFmt formatCode="m/d/yyyy" sourceLinked="1"/>
        <c:majorTickMark val="out"/>
        <c:minorTickMark val="none"/>
        <c:tickLblPos val="nextTo"/>
        <c:txPr>
          <a:bodyPr rot="-2700000" vert="horz"/>
          <a:lstStyle/>
          <a:p>
            <a:pPr>
              <a:defRPr/>
            </a:pPr>
            <a:endParaRPr lang="en-US"/>
          </a:p>
        </c:txPr>
        <c:crossAx val="876250240"/>
        <c:crosses val="autoZero"/>
        <c:auto val="1"/>
        <c:lblOffset val="100"/>
        <c:baseTimeUnit val="days"/>
      </c:dateAx>
      <c:valAx>
        <c:axId val="876250240"/>
        <c:scaling>
          <c:orientation val="minMax"/>
        </c:scaling>
        <c:delete val="0"/>
        <c:axPos val="l"/>
        <c:majorGridlines/>
        <c:numFmt formatCode="0.00%" sourceLinked="1"/>
        <c:majorTickMark val="out"/>
        <c:minorTickMark val="none"/>
        <c:tickLblPos val="nextTo"/>
        <c:crossAx val="87624697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44</xdr:col>
      <xdr:colOff>0</xdr:colOff>
      <xdr:row>3</xdr:row>
      <xdr:rowOff>55880</xdr:rowOff>
    </xdr:from>
    <xdr:to>
      <xdr:col>44</xdr:col>
      <xdr:colOff>0</xdr:colOff>
      <xdr:row>56</xdr:row>
      <xdr:rowOff>0</xdr:rowOff>
    </xdr:to>
    <xdr:cxnSp macro="">
      <xdr:nvCxnSpPr>
        <xdr:cNvPr id="22394" name="직선 화살표 연결선 22393">
          <a:extLst>
            <a:ext uri="{FF2B5EF4-FFF2-40B4-BE49-F238E27FC236}">
              <a16:creationId xmlns:a16="http://schemas.microsoft.com/office/drawing/2014/main" id="{00000000-0008-0000-0300-00007A570000}"/>
            </a:ext>
          </a:extLst>
        </xdr:cNvPr>
        <xdr:cNvCxnSpPr/>
      </xdr:nvCxnSpPr>
      <xdr:spPr>
        <a:xfrm>
          <a:off x="20745450" y="741680"/>
          <a:ext cx="0" cy="7926070"/>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20410</xdr:colOff>
      <xdr:row>3</xdr:row>
      <xdr:rowOff>55880</xdr:rowOff>
    </xdr:from>
    <xdr:to>
      <xdr:col>30</xdr:col>
      <xdr:colOff>20410</xdr:colOff>
      <xdr:row>56</xdr:row>
      <xdr:rowOff>0</xdr:rowOff>
    </xdr:to>
    <xdr:cxnSp macro="">
      <xdr:nvCxnSpPr>
        <xdr:cNvPr id="22395" name="직선 화살표 연결선 22394">
          <a:extLst>
            <a:ext uri="{FF2B5EF4-FFF2-40B4-BE49-F238E27FC236}">
              <a16:creationId xmlns:a16="http://schemas.microsoft.com/office/drawing/2014/main" id="{00000000-0008-0000-0300-00007B570000}"/>
            </a:ext>
          </a:extLst>
        </xdr:cNvPr>
        <xdr:cNvCxnSpPr/>
      </xdr:nvCxnSpPr>
      <xdr:spPr>
        <a:xfrm>
          <a:off x="8859610" y="741680"/>
          <a:ext cx="0" cy="7926070"/>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102053</xdr:colOff>
      <xdr:row>55</xdr:row>
      <xdr:rowOff>19050</xdr:rowOff>
    </xdr:from>
    <xdr:to>
      <xdr:col>46</xdr:col>
      <xdr:colOff>122465</xdr:colOff>
      <xdr:row>55</xdr:row>
      <xdr:rowOff>133350</xdr:rowOff>
    </xdr:to>
    <xdr:sp macro="" textlink="">
      <xdr:nvSpPr>
        <xdr:cNvPr id="22396" name="직사각형 22395">
          <a:extLst>
            <a:ext uri="{FF2B5EF4-FFF2-40B4-BE49-F238E27FC236}">
              <a16:creationId xmlns:a16="http://schemas.microsoft.com/office/drawing/2014/main" id="{00000000-0008-0000-0300-00007C570000}"/>
            </a:ext>
          </a:extLst>
        </xdr:cNvPr>
        <xdr:cNvSpPr/>
      </xdr:nvSpPr>
      <xdr:spPr>
        <a:xfrm>
          <a:off x="11227253" y="8534400"/>
          <a:ext cx="204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102053</xdr:colOff>
      <xdr:row>55</xdr:row>
      <xdr:rowOff>76200</xdr:rowOff>
    </xdr:from>
    <xdr:to>
      <xdr:col>46</xdr:col>
      <xdr:colOff>102053</xdr:colOff>
      <xdr:row>55</xdr:row>
      <xdr:rowOff>76200</xdr:rowOff>
    </xdr:to>
    <xdr:cxnSp macro="">
      <xdr:nvCxnSpPr>
        <xdr:cNvPr id="22397" name="직선 화살표 연결선 22396">
          <a:extLst>
            <a:ext uri="{FF2B5EF4-FFF2-40B4-BE49-F238E27FC236}">
              <a16:creationId xmlns:a16="http://schemas.microsoft.com/office/drawing/2014/main" id="{00000000-0008-0000-0300-00007D570000}"/>
            </a:ext>
          </a:extLst>
        </xdr:cNvPr>
        <xdr:cNvCxnSpPr/>
      </xdr:nvCxnSpPr>
      <xdr:spPr>
        <a:xfrm>
          <a:off x="11227253" y="859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54</xdr:row>
      <xdr:rowOff>19050</xdr:rowOff>
    </xdr:from>
    <xdr:to>
      <xdr:col>46</xdr:col>
      <xdr:colOff>102053</xdr:colOff>
      <xdr:row>54</xdr:row>
      <xdr:rowOff>133350</xdr:rowOff>
    </xdr:to>
    <xdr:sp macro="" textlink="">
      <xdr:nvSpPr>
        <xdr:cNvPr id="22398" name="직사각형 22397">
          <a:extLst>
            <a:ext uri="{FF2B5EF4-FFF2-40B4-BE49-F238E27FC236}">
              <a16:creationId xmlns:a16="http://schemas.microsoft.com/office/drawing/2014/main" id="{00000000-0008-0000-0300-00007E570000}"/>
            </a:ext>
          </a:extLst>
        </xdr:cNvPr>
        <xdr:cNvSpPr/>
      </xdr:nvSpPr>
      <xdr:spPr>
        <a:xfrm>
          <a:off x="11166022" y="83820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54</xdr:row>
      <xdr:rowOff>76200</xdr:rowOff>
    </xdr:from>
    <xdr:to>
      <xdr:col>46</xdr:col>
      <xdr:colOff>40822</xdr:colOff>
      <xdr:row>54</xdr:row>
      <xdr:rowOff>76200</xdr:rowOff>
    </xdr:to>
    <xdr:cxnSp macro="">
      <xdr:nvCxnSpPr>
        <xdr:cNvPr id="22399" name="직선 화살표 연결선 22398">
          <a:extLst>
            <a:ext uri="{FF2B5EF4-FFF2-40B4-BE49-F238E27FC236}">
              <a16:creationId xmlns:a16="http://schemas.microsoft.com/office/drawing/2014/main" id="{00000000-0008-0000-0300-00007F570000}"/>
            </a:ext>
          </a:extLst>
        </xdr:cNvPr>
        <xdr:cNvCxnSpPr/>
      </xdr:nvCxnSpPr>
      <xdr:spPr>
        <a:xfrm>
          <a:off x="11166022" y="843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53</xdr:row>
      <xdr:rowOff>19050</xdr:rowOff>
    </xdr:from>
    <xdr:to>
      <xdr:col>46</xdr:col>
      <xdr:colOff>102053</xdr:colOff>
      <xdr:row>53</xdr:row>
      <xdr:rowOff>133350</xdr:rowOff>
    </xdr:to>
    <xdr:sp macro="" textlink="">
      <xdr:nvSpPr>
        <xdr:cNvPr id="22400" name="직사각형 22399">
          <a:extLst>
            <a:ext uri="{FF2B5EF4-FFF2-40B4-BE49-F238E27FC236}">
              <a16:creationId xmlns:a16="http://schemas.microsoft.com/office/drawing/2014/main" id="{00000000-0008-0000-0300-000080570000}"/>
            </a:ext>
          </a:extLst>
        </xdr:cNvPr>
        <xdr:cNvSpPr/>
      </xdr:nvSpPr>
      <xdr:spPr>
        <a:xfrm>
          <a:off x="11166022" y="82296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53</xdr:row>
      <xdr:rowOff>76200</xdr:rowOff>
    </xdr:from>
    <xdr:to>
      <xdr:col>46</xdr:col>
      <xdr:colOff>40822</xdr:colOff>
      <xdr:row>53</xdr:row>
      <xdr:rowOff>76200</xdr:rowOff>
    </xdr:to>
    <xdr:cxnSp macro="">
      <xdr:nvCxnSpPr>
        <xdr:cNvPr id="22401" name="직선 화살표 연결선 22400">
          <a:extLst>
            <a:ext uri="{FF2B5EF4-FFF2-40B4-BE49-F238E27FC236}">
              <a16:creationId xmlns:a16="http://schemas.microsoft.com/office/drawing/2014/main" id="{00000000-0008-0000-0300-000081570000}"/>
            </a:ext>
          </a:extLst>
        </xdr:cNvPr>
        <xdr:cNvCxnSpPr/>
      </xdr:nvCxnSpPr>
      <xdr:spPr>
        <a:xfrm>
          <a:off x="11166022" y="8286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52</xdr:row>
      <xdr:rowOff>19050</xdr:rowOff>
    </xdr:from>
    <xdr:to>
      <xdr:col>46</xdr:col>
      <xdr:colOff>102053</xdr:colOff>
      <xdr:row>52</xdr:row>
      <xdr:rowOff>133350</xdr:rowOff>
    </xdr:to>
    <xdr:sp macro="" textlink="">
      <xdr:nvSpPr>
        <xdr:cNvPr id="22402" name="직사각형 22401">
          <a:extLst>
            <a:ext uri="{FF2B5EF4-FFF2-40B4-BE49-F238E27FC236}">
              <a16:creationId xmlns:a16="http://schemas.microsoft.com/office/drawing/2014/main" id="{00000000-0008-0000-0300-000082570000}"/>
            </a:ext>
          </a:extLst>
        </xdr:cNvPr>
        <xdr:cNvSpPr/>
      </xdr:nvSpPr>
      <xdr:spPr>
        <a:xfrm>
          <a:off x="11166022" y="8077200"/>
          <a:ext cx="612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52</xdr:row>
      <xdr:rowOff>76200</xdr:rowOff>
    </xdr:from>
    <xdr:to>
      <xdr:col>46</xdr:col>
      <xdr:colOff>40822</xdr:colOff>
      <xdr:row>52</xdr:row>
      <xdr:rowOff>76200</xdr:rowOff>
    </xdr:to>
    <xdr:cxnSp macro="">
      <xdr:nvCxnSpPr>
        <xdr:cNvPr id="22403" name="직선 화살표 연결선 22402">
          <a:extLst>
            <a:ext uri="{FF2B5EF4-FFF2-40B4-BE49-F238E27FC236}">
              <a16:creationId xmlns:a16="http://schemas.microsoft.com/office/drawing/2014/main" id="{00000000-0008-0000-0300-000083570000}"/>
            </a:ext>
          </a:extLst>
        </xdr:cNvPr>
        <xdr:cNvCxnSpPr/>
      </xdr:nvCxnSpPr>
      <xdr:spPr>
        <a:xfrm>
          <a:off x="11166022" y="8134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51</xdr:row>
      <xdr:rowOff>19050</xdr:rowOff>
    </xdr:from>
    <xdr:to>
      <xdr:col>46</xdr:col>
      <xdr:colOff>122465</xdr:colOff>
      <xdr:row>51</xdr:row>
      <xdr:rowOff>133350</xdr:rowOff>
    </xdr:to>
    <xdr:sp macro="" textlink="">
      <xdr:nvSpPr>
        <xdr:cNvPr id="22404" name="직사각형 22403">
          <a:extLst>
            <a:ext uri="{FF2B5EF4-FFF2-40B4-BE49-F238E27FC236}">
              <a16:creationId xmlns:a16="http://schemas.microsoft.com/office/drawing/2014/main" id="{00000000-0008-0000-0300-000084570000}"/>
            </a:ext>
          </a:extLst>
        </xdr:cNvPr>
        <xdr:cNvSpPr/>
      </xdr:nvSpPr>
      <xdr:spPr>
        <a:xfrm>
          <a:off x="11166022" y="7924800"/>
          <a:ext cx="8164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51</xdr:row>
      <xdr:rowOff>76200</xdr:rowOff>
    </xdr:from>
    <xdr:to>
      <xdr:col>46</xdr:col>
      <xdr:colOff>40822</xdr:colOff>
      <xdr:row>51</xdr:row>
      <xdr:rowOff>76200</xdr:rowOff>
    </xdr:to>
    <xdr:cxnSp macro="">
      <xdr:nvCxnSpPr>
        <xdr:cNvPr id="22405" name="직선 화살표 연결선 22404">
          <a:extLst>
            <a:ext uri="{FF2B5EF4-FFF2-40B4-BE49-F238E27FC236}">
              <a16:creationId xmlns:a16="http://schemas.microsoft.com/office/drawing/2014/main" id="{00000000-0008-0000-0300-000085570000}"/>
            </a:ext>
          </a:extLst>
        </xdr:cNvPr>
        <xdr:cNvCxnSpPr/>
      </xdr:nvCxnSpPr>
      <xdr:spPr>
        <a:xfrm>
          <a:off x="11166022" y="7981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50</xdr:row>
      <xdr:rowOff>19050</xdr:rowOff>
    </xdr:from>
    <xdr:to>
      <xdr:col>46</xdr:col>
      <xdr:colOff>20410</xdr:colOff>
      <xdr:row>50</xdr:row>
      <xdr:rowOff>133350</xdr:rowOff>
    </xdr:to>
    <xdr:sp macro="" textlink="">
      <xdr:nvSpPr>
        <xdr:cNvPr id="22406" name="직사각형 22405">
          <a:extLst>
            <a:ext uri="{FF2B5EF4-FFF2-40B4-BE49-F238E27FC236}">
              <a16:creationId xmlns:a16="http://schemas.microsoft.com/office/drawing/2014/main" id="{00000000-0008-0000-0300-000086570000}"/>
            </a:ext>
          </a:extLst>
        </xdr:cNvPr>
        <xdr:cNvSpPr/>
      </xdr:nvSpPr>
      <xdr:spPr>
        <a:xfrm>
          <a:off x="11084378" y="7772400"/>
          <a:ext cx="6123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50</xdr:row>
      <xdr:rowOff>76200</xdr:rowOff>
    </xdr:from>
    <xdr:to>
      <xdr:col>45</xdr:col>
      <xdr:colOff>102053</xdr:colOff>
      <xdr:row>50</xdr:row>
      <xdr:rowOff>76200</xdr:rowOff>
    </xdr:to>
    <xdr:cxnSp macro="">
      <xdr:nvCxnSpPr>
        <xdr:cNvPr id="22407" name="직선 화살표 연결선 22406">
          <a:extLst>
            <a:ext uri="{FF2B5EF4-FFF2-40B4-BE49-F238E27FC236}">
              <a16:creationId xmlns:a16="http://schemas.microsoft.com/office/drawing/2014/main" id="{00000000-0008-0000-0300-000087570000}"/>
            </a:ext>
          </a:extLst>
        </xdr:cNvPr>
        <xdr:cNvCxnSpPr/>
      </xdr:nvCxnSpPr>
      <xdr:spPr>
        <a:xfrm>
          <a:off x="11084378" y="7829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49</xdr:row>
      <xdr:rowOff>19050</xdr:rowOff>
    </xdr:from>
    <xdr:to>
      <xdr:col>46</xdr:col>
      <xdr:colOff>20410</xdr:colOff>
      <xdr:row>49</xdr:row>
      <xdr:rowOff>133350</xdr:rowOff>
    </xdr:to>
    <xdr:sp macro="" textlink="">
      <xdr:nvSpPr>
        <xdr:cNvPr id="22408" name="직사각형 22407">
          <a:extLst>
            <a:ext uri="{FF2B5EF4-FFF2-40B4-BE49-F238E27FC236}">
              <a16:creationId xmlns:a16="http://schemas.microsoft.com/office/drawing/2014/main" id="{00000000-0008-0000-0300-000088570000}"/>
            </a:ext>
          </a:extLst>
        </xdr:cNvPr>
        <xdr:cNvSpPr/>
      </xdr:nvSpPr>
      <xdr:spPr>
        <a:xfrm>
          <a:off x="11084378" y="7620000"/>
          <a:ext cx="6123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49</xdr:row>
      <xdr:rowOff>76200</xdr:rowOff>
    </xdr:from>
    <xdr:to>
      <xdr:col>45</xdr:col>
      <xdr:colOff>102053</xdr:colOff>
      <xdr:row>49</xdr:row>
      <xdr:rowOff>76200</xdr:rowOff>
    </xdr:to>
    <xdr:cxnSp macro="">
      <xdr:nvCxnSpPr>
        <xdr:cNvPr id="22409" name="직선 화살표 연결선 22408">
          <a:extLst>
            <a:ext uri="{FF2B5EF4-FFF2-40B4-BE49-F238E27FC236}">
              <a16:creationId xmlns:a16="http://schemas.microsoft.com/office/drawing/2014/main" id="{00000000-0008-0000-0300-000089570000}"/>
            </a:ext>
          </a:extLst>
        </xdr:cNvPr>
        <xdr:cNvCxnSpPr/>
      </xdr:nvCxnSpPr>
      <xdr:spPr>
        <a:xfrm>
          <a:off x="11084378" y="7677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48</xdr:row>
      <xdr:rowOff>19050</xdr:rowOff>
    </xdr:from>
    <xdr:to>
      <xdr:col>46</xdr:col>
      <xdr:colOff>122465</xdr:colOff>
      <xdr:row>48</xdr:row>
      <xdr:rowOff>133350</xdr:rowOff>
    </xdr:to>
    <xdr:sp macro="" textlink="">
      <xdr:nvSpPr>
        <xdr:cNvPr id="22410" name="직사각형 22409">
          <a:extLst>
            <a:ext uri="{FF2B5EF4-FFF2-40B4-BE49-F238E27FC236}">
              <a16:creationId xmlns:a16="http://schemas.microsoft.com/office/drawing/2014/main" id="{00000000-0008-0000-0300-00008A570000}"/>
            </a:ext>
          </a:extLst>
        </xdr:cNvPr>
        <xdr:cNvSpPr/>
      </xdr:nvSpPr>
      <xdr:spPr>
        <a:xfrm>
          <a:off x="11084378" y="7467600"/>
          <a:ext cx="16328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48</xdr:row>
      <xdr:rowOff>76200</xdr:rowOff>
    </xdr:from>
    <xdr:to>
      <xdr:col>45</xdr:col>
      <xdr:colOff>102053</xdr:colOff>
      <xdr:row>48</xdr:row>
      <xdr:rowOff>76200</xdr:rowOff>
    </xdr:to>
    <xdr:cxnSp macro="">
      <xdr:nvCxnSpPr>
        <xdr:cNvPr id="22411" name="직선 화살표 연결선 22410">
          <a:extLst>
            <a:ext uri="{FF2B5EF4-FFF2-40B4-BE49-F238E27FC236}">
              <a16:creationId xmlns:a16="http://schemas.microsoft.com/office/drawing/2014/main" id="{00000000-0008-0000-0300-00008B570000}"/>
            </a:ext>
          </a:extLst>
        </xdr:cNvPr>
        <xdr:cNvCxnSpPr/>
      </xdr:nvCxnSpPr>
      <xdr:spPr>
        <a:xfrm>
          <a:off x="11084378" y="7524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102053</xdr:colOff>
      <xdr:row>47</xdr:row>
      <xdr:rowOff>19050</xdr:rowOff>
    </xdr:from>
    <xdr:to>
      <xdr:col>46</xdr:col>
      <xdr:colOff>61232</xdr:colOff>
      <xdr:row>47</xdr:row>
      <xdr:rowOff>133350</xdr:rowOff>
    </xdr:to>
    <xdr:sp macro="" textlink="">
      <xdr:nvSpPr>
        <xdr:cNvPr id="22412" name="직사각형 22411">
          <a:extLst>
            <a:ext uri="{FF2B5EF4-FFF2-40B4-BE49-F238E27FC236}">
              <a16:creationId xmlns:a16="http://schemas.microsoft.com/office/drawing/2014/main" id="{00000000-0008-0000-0300-00008C570000}"/>
            </a:ext>
          </a:extLst>
        </xdr:cNvPr>
        <xdr:cNvSpPr/>
      </xdr:nvSpPr>
      <xdr:spPr>
        <a:xfrm>
          <a:off x="11084378" y="73152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102053</xdr:colOff>
      <xdr:row>47</xdr:row>
      <xdr:rowOff>76200</xdr:rowOff>
    </xdr:from>
    <xdr:to>
      <xdr:col>45</xdr:col>
      <xdr:colOff>102053</xdr:colOff>
      <xdr:row>47</xdr:row>
      <xdr:rowOff>76200</xdr:rowOff>
    </xdr:to>
    <xdr:cxnSp macro="">
      <xdr:nvCxnSpPr>
        <xdr:cNvPr id="22413" name="직선 화살표 연결선 22412">
          <a:extLst>
            <a:ext uri="{FF2B5EF4-FFF2-40B4-BE49-F238E27FC236}">
              <a16:creationId xmlns:a16="http://schemas.microsoft.com/office/drawing/2014/main" id="{00000000-0008-0000-0300-00008D570000}"/>
            </a:ext>
          </a:extLst>
        </xdr:cNvPr>
        <xdr:cNvCxnSpPr/>
      </xdr:nvCxnSpPr>
      <xdr:spPr>
        <a:xfrm>
          <a:off x="11084378" y="7372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46</xdr:row>
      <xdr:rowOff>19050</xdr:rowOff>
    </xdr:from>
    <xdr:to>
      <xdr:col>45</xdr:col>
      <xdr:colOff>61232</xdr:colOff>
      <xdr:row>46</xdr:row>
      <xdr:rowOff>133350</xdr:rowOff>
    </xdr:to>
    <xdr:sp macro="" textlink="">
      <xdr:nvSpPr>
        <xdr:cNvPr id="22414" name="직사각형 22413">
          <a:extLst>
            <a:ext uri="{FF2B5EF4-FFF2-40B4-BE49-F238E27FC236}">
              <a16:creationId xmlns:a16="http://schemas.microsoft.com/office/drawing/2014/main" id="{00000000-0008-0000-0300-00008E570000}"/>
            </a:ext>
          </a:extLst>
        </xdr:cNvPr>
        <xdr:cNvSpPr/>
      </xdr:nvSpPr>
      <xdr:spPr>
        <a:xfrm>
          <a:off x="10655753" y="7162800"/>
          <a:ext cx="387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46</xdr:row>
      <xdr:rowOff>76200</xdr:rowOff>
    </xdr:from>
    <xdr:to>
      <xdr:col>42</xdr:col>
      <xdr:colOff>102053</xdr:colOff>
      <xdr:row>46</xdr:row>
      <xdr:rowOff>76200</xdr:rowOff>
    </xdr:to>
    <xdr:cxnSp macro="">
      <xdr:nvCxnSpPr>
        <xdr:cNvPr id="22415" name="직선 화살표 연결선 22414">
          <a:extLst>
            <a:ext uri="{FF2B5EF4-FFF2-40B4-BE49-F238E27FC236}">
              <a16:creationId xmlns:a16="http://schemas.microsoft.com/office/drawing/2014/main" id="{00000000-0008-0000-0300-00008F570000}"/>
            </a:ext>
          </a:extLst>
        </xdr:cNvPr>
        <xdr:cNvCxnSpPr/>
      </xdr:nvCxnSpPr>
      <xdr:spPr>
        <a:xfrm>
          <a:off x="10655753" y="7219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102053</xdr:colOff>
      <xdr:row>45</xdr:row>
      <xdr:rowOff>19050</xdr:rowOff>
    </xdr:from>
    <xdr:to>
      <xdr:col>46</xdr:col>
      <xdr:colOff>61232</xdr:colOff>
      <xdr:row>45</xdr:row>
      <xdr:rowOff>133350</xdr:rowOff>
    </xdr:to>
    <xdr:sp macro="" textlink="">
      <xdr:nvSpPr>
        <xdr:cNvPr id="22416" name="직사각형 22415">
          <a:extLst>
            <a:ext uri="{FF2B5EF4-FFF2-40B4-BE49-F238E27FC236}">
              <a16:creationId xmlns:a16="http://schemas.microsoft.com/office/drawing/2014/main" id="{00000000-0008-0000-0300-000090570000}"/>
            </a:ext>
          </a:extLst>
        </xdr:cNvPr>
        <xdr:cNvSpPr/>
      </xdr:nvSpPr>
      <xdr:spPr>
        <a:xfrm>
          <a:off x="10655753" y="7010400"/>
          <a:ext cx="530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42</xdr:col>
      <xdr:colOff>102053</xdr:colOff>
      <xdr:row>45</xdr:row>
      <xdr:rowOff>76200</xdr:rowOff>
    </xdr:from>
    <xdr:to>
      <xdr:col>42</xdr:col>
      <xdr:colOff>102053</xdr:colOff>
      <xdr:row>45</xdr:row>
      <xdr:rowOff>76200</xdr:rowOff>
    </xdr:to>
    <xdr:cxnSp macro="">
      <xdr:nvCxnSpPr>
        <xdr:cNvPr id="22417" name="직선 화살표 연결선 22416">
          <a:extLst>
            <a:ext uri="{FF2B5EF4-FFF2-40B4-BE49-F238E27FC236}">
              <a16:creationId xmlns:a16="http://schemas.microsoft.com/office/drawing/2014/main" id="{00000000-0008-0000-0300-000091570000}"/>
            </a:ext>
          </a:extLst>
        </xdr:cNvPr>
        <xdr:cNvCxnSpPr/>
      </xdr:nvCxnSpPr>
      <xdr:spPr>
        <a:xfrm>
          <a:off x="10655753" y="706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102053</xdr:colOff>
      <xdr:row>44</xdr:row>
      <xdr:rowOff>19050</xdr:rowOff>
    </xdr:from>
    <xdr:to>
      <xdr:col>45</xdr:col>
      <xdr:colOff>40822</xdr:colOff>
      <xdr:row>44</xdr:row>
      <xdr:rowOff>133350</xdr:rowOff>
    </xdr:to>
    <xdr:sp macro="" textlink="">
      <xdr:nvSpPr>
        <xdr:cNvPr id="22418" name="직사각형 22417">
          <a:extLst>
            <a:ext uri="{FF2B5EF4-FFF2-40B4-BE49-F238E27FC236}">
              <a16:creationId xmlns:a16="http://schemas.microsoft.com/office/drawing/2014/main" id="{00000000-0008-0000-0300-000092570000}"/>
            </a:ext>
          </a:extLst>
        </xdr:cNvPr>
        <xdr:cNvSpPr/>
      </xdr:nvSpPr>
      <xdr:spPr>
        <a:xfrm>
          <a:off x="10084253" y="6858000"/>
          <a:ext cx="93889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102053</xdr:colOff>
      <xdr:row>44</xdr:row>
      <xdr:rowOff>76200</xdr:rowOff>
    </xdr:from>
    <xdr:to>
      <xdr:col>38</xdr:col>
      <xdr:colOff>102053</xdr:colOff>
      <xdr:row>44</xdr:row>
      <xdr:rowOff>76200</xdr:rowOff>
    </xdr:to>
    <xdr:cxnSp macro="">
      <xdr:nvCxnSpPr>
        <xdr:cNvPr id="22419" name="직선 화살표 연결선 22418">
          <a:extLst>
            <a:ext uri="{FF2B5EF4-FFF2-40B4-BE49-F238E27FC236}">
              <a16:creationId xmlns:a16="http://schemas.microsoft.com/office/drawing/2014/main" id="{00000000-0008-0000-0300-000093570000}"/>
            </a:ext>
          </a:extLst>
        </xdr:cNvPr>
        <xdr:cNvCxnSpPr/>
      </xdr:nvCxnSpPr>
      <xdr:spPr>
        <a:xfrm>
          <a:off x="10084253" y="691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43</xdr:row>
      <xdr:rowOff>19050</xdr:rowOff>
    </xdr:from>
    <xdr:to>
      <xdr:col>45</xdr:col>
      <xdr:colOff>40822</xdr:colOff>
      <xdr:row>43</xdr:row>
      <xdr:rowOff>133350</xdr:rowOff>
    </xdr:to>
    <xdr:sp macro="" textlink="">
      <xdr:nvSpPr>
        <xdr:cNvPr id="22420" name="직사각형 22419">
          <a:extLst>
            <a:ext uri="{FF2B5EF4-FFF2-40B4-BE49-F238E27FC236}">
              <a16:creationId xmlns:a16="http://schemas.microsoft.com/office/drawing/2014/main" id="{00000000-0008-0000-0300-000094570000}"/>
            </a:ext>
          </a:extLst>
        </xdr:cNvPr>
        <xdr:cNvSpPr/>
      </xdr:nvSpPr>
      <xdr:spPr>
        <a:xfrm>
          <a:off x="9798503" y="6705600"/>
          <a:ext cx="1224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43</xdr:row>
      <xdr:rowOff>76200</xdr:rowOff>
    </xdr:from>
    <xdr:to>
      <xdr:col>36</xdr:col>
      <xdr:colOff>102053</xdr:colOff>
      <xdr:row>43</xdr:row>
      <xdr:rowOff>76200</xdr:rowOff>
    </xdr:to>
    <xdr:cxnSp macro="">
      <xdr:nvCxnSpPr>
        <xdr:cNvPr id="22421" name="직선 화살표 연결선 22420">
          <a:extLst>
            <a:ext uri="{FF2B5EF4-FFF2-40B4-BE49-F238E27FC236}">
              <a16:creationId xmlns:a16="http://schemas.microsoft.com/office/drawing/2014/main" id="{00000000-0008-0000-0300-000095570000}"/>
            </a:ext>
          </a:extLst>
        </xdr:cNvPr>
        <xdr:cNvCxnSpPr/>
      </xdr:nvCxnSpPr>
      <xdr:spPr>
        <a:xfrm>
          <a:off x="9798503" y="676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42</xdr:row>
      <xdr:rowOff>19050</xdr:rowOff>
    </xdr:from>
    <xdr:to>
      <xdr:col>45</xdr:col>
      <xdr:colOff>40822</xdr:colOff>
      <xdr:row>42</xdr:row>
      <xdr:rowOff>133350</xdr:rowOff>
    </xdr:to>
    <xdr:sp macro="" textlink="">
      <xdr:nvSpPr>
        <xdr:cNvPr id="22422" name="직사각형 22421">
          <a:extLst>
            <a:ext uri="{FF2B5EF4-FFF2-40B4-BE49-F238E27FC236}">
              <a16:creationId xmlns:a16="http://schemas.microsoft.com/office/drawing/2014/main" id="{00000000-0008-0000-0300-000096570000}"/>
            </a:ext>
          </a:extLst>
        </xdr:cNvPr>
        <xdr:cNvSpPr/>
      </xdr:nvSpPr>
      <xdr:spPr>
        <a:xfrm>
          <a:off x="9798503" y="6553200"/>
          <a:ext cx="12246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42</xdr:row>
      <xdr:rowOff>76200</xdr:rowOff>
    </xdr:from>
    <xdr:to>
      <xdr:col>36</xdr:col>
      <xdr:colOff>102053</xdr:colOff>
      <xdr:row>42</xdr:row>
      <xdr:rowOff>76200</xdr:rowOff>
    </xdr:to>
    <xdr:cxnSp macro="">
      <xdr:nvCxnSpPr>
        <xdr:cNvPr id="22423" name="직선 화살표 연결선 22422">
          <a:extLst>
            <a:ext uri="{FF2B5EF4-FFF2-40B4-BE49-F238E27FC236}">
              <a16:creationId xmlns:a16="http://schemas.microsoft.com/office/drawing/2014/main" id="{00000000-0008-0000-0300-000097570000}"/>
            </a:ext>
          </a:extLst>
        </xdr:cNvPr>
        <xdr:cNvCxnSpPr/>
      </xdr:nvCxnSpPr>
      <xdr:spPr>
        <a:xfrm>
          <a:off x="9798503" y="661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41</xdr:row>
      <xdr:rowOff>19050</xdr:rowOff>
    </xdr:from>
    <xdr:to>
      <xdr:col>39</xdr:col>
      <xdr:colOff>61232</xdr:colOff>
      <xdr:row>41</xdr:row>
      <xdr:rowOff>133350</xdr:rowOff>
    </xdr:to>
    <xdr:sp macro="" textlink="">
      <xdr:nvSpPr>
        <xdr:cNvPr id="22424" name="직사각형 22423">
          <a:extLst>
            <a:ext uri="{FF2B5EF4-FFF2-40B4-BE49-F238E27FC236}">
              <a16:creationId xmlns:a16="http://schemas.microsoft.com/office/drawing/2014/main" id="{00000000-0008-0000-0300-000098570000}"/>
            </a:ext>
          </a:extLst>
        </xdr:cNvPr>
        <xdr:cNvSpPr/>
      </xdr:nvSpPr>
      <xdr:spPr>
        <a:xfrm>
          <a:off x="9941378" y="6400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41</xdr:row>
      <xdr:rowOff>76200</xdr:rowOff>
    </xdr:from>
    <xdr:to>
      <xdr:col>37</xdr:col>
      <xdr:colOff>102053</xdr:colOff>
      <xdr:row>41</xdr:row>
      <xdr:rowOff>76200</xdr:rowOff>
    </xdr:to>
    <xdr:cxnSp macro="">
      <xdr:nvCxnSpPr>
        <xdr:cNvPr id="22425" name="직선 화살표 연결선 22424">
          <a:extLst>
            <a:ext uri="{FF2B5EF4-FFF2-40B4-BE49-F238E27FC236}">
              <a16:creationId xmlns:a16="http://schemas.microsoft.com/office/drawing/2014/main" id="{00000000-0008-0000-0300-000099570000}"/>
            </a:ext>
          </a:extLst>
        </xdr:cNvPr>
        <xdr:cNvCxnSpPr/>
      </xdr:nvCxnSpPr>
      <xdr:spPr>
        <a:xfrm>
          <a:off x="9941378" y="645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102053</xdr:colOff>
      <xdr:row>40</xdr:row>
      <xdr:rowOff>19050</xdr:rowOff>
    </xdr:from>
    <xdr:to>
      <xdr:col>38</xdr:col>
      <xdr:colOff>61232</xdr:colOff>
      <xdr:row>40</xdr:row>
      <xdr:rowOff>133350</xdr:rowOff>
    </xdr:to>
    <xdr:sp macro="" textlink="">
      <xdr:nvSpPr>
        <xdr:cNvPr id="22426" name="직사각형 22425">
          <a:extLst>
            <a:ext uri="{FF2B5EF4-FFF2-40B4-BE49-F238E27FC236}">
              <a16:creationId xmlns:a16="http://schemas.microsoft.com/office/drawing/2014/main" id="{00000000-0008-0000-0300-00009A570000}"/>
            </a:ext>
          </a:extLst>
        </xdr:cNvPr>
        <xdr:cNvSpPr/>
      </xdr:nvSpPr>
      <xdr:spPr>
        <a:xfrm>
          <a:off x="9941378" y="62484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102053</xdr:colOff>
      <xdr:row>40</xdr:row>
      <xdr:rowOff>76200</xdr:rowOff>
    </xdr:from>
    <xdr:to>
      <xdr:col>37</xdr:col>
      <xdr:colOff>102053</xdr:colOff>
      <xdr:row>40</xdr:row>
      <xdr:rowOff>76200</xdr:rowOff>
    </xdr:to>
    <xdr:cxnSp macro="">
      <xdr:nvCxnSpPr>
        <xdr:cNvPr id="22427" name="직선 화살표 연결선 22426">
          <a:extLst>
            <a:ext uri="{FF2B5EF4-FFF2-40B4-BE49-F238E27FC236}">
              <a16:creationId xmlns:a16="http://schemas.microsoft.com/office/drawing/2014/main" id="{00000000-0008-0000-0300-00009B570000}"/>
            </a:ext>
          </a:extLst>
        </xdr:cNvPr>
        <xdr:cNvCxnSpPr/>
      </xdr:nvCxnSpPr>
      <xdr:spPr>
        <a:xfrm>
          <a:off x="9941378" y="6305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39</xdr:row>
      <xdr:rowOff>19050</xdr:rowOff>
    </xdr:from>
    <xdr:to>
      <xdr:col>37</xdr:col>
      <xdr:colOff>61232</xdr:colOff>
      <xdr:row>39</xdr:row>
      <xdr:rowOff>133350</xdr:rowOff>
    </xdr:to>
    <xdr:sp macro="" textlink="">
      <xdr:nvSpPr>
        <xdr:cNvPr id="22428" name="직사각형 22427">
          <a:extLst>
            <a:ext uri="{FF2B5EF4-FFF2-40B4-BE49-F238E27FC236}">
              <a16:creationId xmlns:a16="http://schemas.microsoft.com/office/drawing/2014/main" id="{00000000-0008-0000-0300-00009C570000}"/>
            </a:ext>
          </a:extLst>
        </xdr:cNvPr>
        <xdr:cNvSpPr/>
      </xdr:nvSpPr>
      <xdr:spPr>
        <a:xfrm>
          <a:off x="9798503" y="60960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39</xdr:row>
      <xdr:rowOff>76200</xdr:rowOff>
    </xdr:from>
    <xdr:to>
      <xdr:col>36</xdr:col>
      <xdr:colOff>102053</xdr:colOff>
      <xdr:row>39</xdr:row>
      <xdr:rowOff>76200</xdr:rowOff>
    </xdr:to>
    <xdr:cxnSp macro="">
      <xdr:nvCxnSpPr>
        <xdr:cNvPr id="22429" name="직선 화살표 연결선 22428">
          <a:extLst>
            <a:ext uri="{FF2B5EF4-FFF2-40B4-BE49-F238E27FC236}">
              <a16:creationId xmlns:a16="http://schemas.microsoft.com/office/drawing/2014/main" id="{00000000-0008-0000-0300-00009D570000}"/>
            </a:ext>
          </a:extLst>
        </xdr:cNvPr>
        <xdr:cNvCxnSpPr/>
      </xdr:nvCxnSpPr>
      <xdr:spPr>
        <a:xfrm>
          <a:off x="9798503" y="615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38</xdr:row>
      <xdr:rowOff>19050</xdr:rowOff>
    </xdr:from>
    <xdr:to>
      <xdr:col>39</xdr:col>
      <xdr:colOff>61232</xdr:colOff>
      <xdr:row>38</xdr:row>
      <xdr:rowOff>133350</xdr:rowOff>
    </xdr:to>
    <xdr:sp macro="" textlink="">
      <xdr:nvSpPr>
        <xdr:cNvPr id="22430" name="직사각형 22429">
          <a:extLst>
            <a:ext uri="{FF2B5EF4-FFF2-40B4-BE49-F238E27FC236}">
              <a16:creationId xmlns:a16="http://schemas.microsoft.com/office/drawing/2014/main" id="{00000000-0008-0000-0300-00009E570000}"/>
            </a:ext>
          </a:extLst>
        </xdr:cNvPr>
        <xdr:cNvSpPr/>
      </xdr:nvSpPr>
      <xdr:spPr>
        <a:xfrm>
          <a:off x="9798503" y="5943600"/>
          <a:ext cx="38780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38</xdr:row>
      <xdr:rowOff>76200</xdr:rowOff>
    </xdr:from>
    <xdr:to>
      <xdr:col>36</xdr:col>
      <xdr:colOff>102053</xdr:colOff>
      <xdr:row>38</xdr:row>
      <xdr:rowOff>76200</xdr:rowOff>
    </xdr:to>
    <xdr:cxnSp macro="">
      <xdr:nvCxnSpPr>
        <xdr:cNvPr id="22431" name="직선 화살표 연결선 22430">
          <a:extLst>
            <a:ext uri="{FF2B5EF4-FFF2-40B4-BE49-F238E27FC236}">
              <a16:creationId xmlns:a16="http://schemas.microsoft.com/office/drawing/2014/main" id="{00000000-0008-0000-0300-00009F570000}"/>
            </a:ext>
          </a:extLst>
        </xdr:cNvPr>
        <xdr:cNvCxnSpPr/>
      </xdr:nvCxnSpPr>
      <xdr:spPr>
        <a:xfrm>
          <a:off x="9798503" y="600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37</xdr:row>
      <xdr:rowOff>19050</xdr:rowOff>
    </xdr:from>
    <xdr:to>
      <xdr:col>45</xdr:col>
      <xdr:colOff>40822</xdr:colOff>
      <xdr:row>37</xdr:row>
      <xdr:rowOff>133350</xdr:rowOff>
    </xdr:to>
    <xdr:sp macro="" textlink="">
      <xdr:nvSpPr>
        <xdr:cNvPr id="22432" name="직사각형 22431">
          <a:extLst>
            <a:ext uri="{FF2B5EF4-FFF2-40B4-BE49-F238E27FC236}">
              <a16:creationId xmlns:a16="http://schemas.microsoft.com/office/drawing/2014/main" id="{00000000-0008-0000-0300-0000A0570000}"/>
            </a:ext>
          </a:extLst>
        </xdr:cNvPr>
        <xdr:cNvSpPr/>
      </xdr:nvSpPr>
      <xdr:spPr>
        <a:xfrm>
          <a:off x="9798503" y="5791200"/>
          <a:ext cx="1224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37</xdr:row>
      <xdr:rowOff>76200</xdr:rowOff>
    </xdr:from>
    <xdr:to>
      <xdr:col>36</xdr:col>
      <xdr:colOff>102053</xdr:colOff>
      <xdr:row>37</xdr:row>
      <xdr:rowOff>76200</xdr:rowOff>
    </xdr:to>
    <xdr:cxnSp macro="">
      <xdr:nvCxnSpPr>
        <xdr:cNvPr id="22433" name="직선 화살표 연결선 22432">
          <a:extLst>
            <a:ext uri="{FF2B5EF4-FFF2-40B4-BE49-F238E27FC236}">
              <a16:creationId xmlns:a16="http://schemas.microsoft.com/office/drawing/2014/main" id="{00000000-0008-0000-0300-0000A1570000}"/>
            </a:ext>
          </a:extLst>
        </xdr:cNvPr>
        <xdr:cNvCxnSpPr/>
      </xdr:nvCxnSpPr>
      <xdr:spPr>
        <a:xfrm>
          <a:off x="9798503" y="584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36</xdr:row>
      <xdr:rowOff>19050</xdr:rowOff>
    </xdr:from>
    <xdr:to>
      <xdr:col>37</xdr:col>
      <xdr:colOff>61232</xdr:colOff>
      <xdr:row>36</xdr:row>
      <xdr:rowOff>133350</xdr:rowOff>
    </xdr:to>
    <xdr:sp macro="" textlink="">
      <xdr:nvSpPr>
        <xdr:cNvPr id="22434" name="직사각형 22433">
          <a:extLst>
            <a:ext uri="{FF2B5EF4-FFF2-40B4-BE49-F238E27FC236}">
              <a16:creationId xmlns:a16="http://schemas.microsoft.com/office/drawing/2014/main" id="{00000000-0008-0000-0300-0000A2570000}"/>
            </a:ext>
          </a:extLst>
        </xdr:cNvPr>
        <xdr:cNvSpPr/>
      </xdr:nvSpPr>
      <xdr:spPr>
        <a:xfrm>
          <a:off x="9798503" y="56388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36</xdr:row>
      <xdr:rowOff>76200</xdr:rowOff>
    </xdr:from>
    <xdr:to>
      <xdr:col>36</xdr:col>
      <xdr:colOff>102053</xdr:colOff>
      <xdr:row>36</xdr:row>
      <xdr:rowOff>76200</xdr:rowOff>
    </xdr:to>
    <xdr:cxnSp macro="">
      <xdr:nvCxnSpPr>
        <xdr:cNvPr id="22435" name="직선 화살표 연결선 22434">
          <a:extLst>
            <a:ext uri="{FF2B5EF4-FFF2-40B4-BE49-F238E27FC236}">
              <a16:creationId xmlns:a16="http://schemas.microsoft.com/office/drawing/2014/main" id="{00000000-0008-0000-0300-0000A3570000}"/>
            </a:ext>
          </a:extLst>
        </xdr:cNvPr>
        <xdr:cNvCxnSpPr/>
      </xdr:nvCxnSpPr>
      <xdr:spPr>
        <a:xfrm>
          <a:off x="9798503" y="569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35</xdr:row>
      <xdr:rowOff>19050</xdr:rowOff>
    </xdr:from>
    <xdr:to>
      <xdr:col>45</xdr:col>
      <xdr:colOff>40822</xdr:colOff>
      <xdr:row>35</xdr:row>
      <xdr:rowOff>133350</xdr:rowOff>
    </xdr:to>
    <xdr:sp macro="" textlink="">
      <xdr:nvSpPr>
        <xdr:cNvPr id="22436" name="직사각형 22435">
          <a:extLst>
            <a:ext uri="{FF2B5EF4-FFF2-40B4-BE49-F238E27FC236}">
              <a16:creationId xmlns:a16="http://schemas.microsoft.com/office/drawing/2014/main" id="{00000000-0008-0000-0300-0000A4570000}"/>
            </a:ext>
          </a:extLst>
        </xdr:cNvPr>
        <xdr:cNvSpPr/>
      </xdr:nvSpPr>
      <xdr:spPr>
        <a:xfrm>
          <a:off x="9798503" y="5486400"/>
          <a:ext cx="12246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35</xdr:row>
      <xdr:rowOff>76200</xdr:rowOff>
    </xdr:from>
    <xdr:to>
      <xdr:col>36</xdr:col>
      <xdr:colOff>102053</xdr:colOff>
      <xdr:row>35</xdr:row>
      <xdr:rowOff>76200</xdr:rowOff>
    </xdr:to>
    <xdr:cxnSp macro="">
      <xdr:nvCxnSpPr>
        <xdr:cNvPr id="22437" name="직선 화살표 연결선 22436">
          <a:extLst>
            <a:ext uri="{FF2B5EF4-FFF2-40B4-BE49-F238E27FC236}">
              <a16:creationId xmlns:a16="http://schemas.microsoft.com/office/drawing/2014/main" id="{00000000-0008-0000-0300-0000A5570000}"/>
            </a:ext>
          </a:extLst>
        </xdr:cNvPr>
        <xdr:cNvCxnSpPr/>
      </xdr:nvCxnSpPr>
      <xdr:spPr>
        <a:xfrm>
          <a:off x="9798503" y="554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34</xdr:row>
      <xdr:rowOff>19050</xdr:rowOff>
    </xdr:from>
    <xdr:to>
      <xdr:col>46</xdr:col>
      <xdr:colOff>61232</xdr:colOff>
      <xdr:row>34</xdr:row>
      <xdr:rowOff>133350</xdr:rowOff>
    </xdr:to>
    <xdr:sp macro="" textlink="">
      <xdr:nvSpPr>
        <xdr:cNvPr id="22438" name="직사각형 22437">
          <a:extLst>
            <a:ext uri="{FF2B5EF4-FFF2-40B4-BE49-F238E27FC236}">
              <a16:creationId xmlns:a16="http://schemas.microsoft.com/office/drawing/2014/main" id="{00000000-0008-0000-0300-0000A6570000}"/>
            </a:ext>
          </a:extLst>
        </xdr:cNvPr>
        <xdr:cNvSpPr/>
      </xdr:nvSpPr>
      <xdr:spPr>
        <a:xfrm>
          <a:off x="9798503" y="5334000"/>
          <a:ext cx="13879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34</xdr:row>
      <xdr:rowOff>76200</xdr:rowOff>
    </xdr:from>
    <xdr:to>
      <xdr:col>36</xdr:col>
      <xdr:colOff>102053</xdr:colOff>
      <xdr:row>34</xdr:row>
      <xdr:rowOff>76200</xdr:rowOff>
    </xdr:to>
    <xdr:cxnSp macro="">
      <xdr:nvCxnSpPr>
        <xdr:cNvPr id="22439" name="직선 화살표 연결선 22438">
          <a:extLst>
            <a:ext uri="{FF2B5EF4-FFF2-40B4-BE49-F238E27FC236}">
              <a16:creationId xmlns:a16="http://schemas.microsoft.com/office/drawing/2014/main" id="{00000000-0008-0000-0300-0000A7570000}"/>
            </a:ext>
          </a:extLst>
        </xdr:cNvPr>
        <xdr:cNvCxnSpPr/>
      </xdr:nvCxnSpPr>
      <xdr:spPr>
        <a:xfrm>
          <a:off x="9798503" y="539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33</xdr:row>
      <xdr:rowOff>19050</xdr:rowOff>
    </xdr:from>
    <xdr:to>
      <xdr:col>37</xdr:col>
      <xdr:colOff>61232</xdr:colOff>
      <xdr:row>33</xdr:row>
      <xdr:rowOff>133350</xdr:rowOff>
    </xdr:to>
    <xdr:sp macro="" textlink="">
      <xdr:nvSpPr>
        <xdr:cNvPr id="22440" name="직사각형 22439">
          <a:extLst>
            <a:ext uri="{FF2B5EF4-FFF2-40B4-BE49-F238E27FC236}">
              <a16:creationId xmlns:a16="http://schemas.microsoft.com/office/drawing/2014/main" id="{00000000-0008-0000-0300-0000A8570000}"/>
            </a:ext>
          </a:extLst>
        </xdr:cNvPr>
        <xdr:cNvSpPr/>
      </xdr:nvSpPr>
      <xdr:spPr>
        <a:xfrm>
          <a:off x="9798503" y="5181600"/>
          <a:ext cx="1020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102053</xdr:colOff>
      <xdr:row>33</xdr:row>
      <xdr:rowOff>76200</xdr:rowOff>
    </xdr:from>
    <xdr:to>
      <xdr:col>36</xdr:col>
      <xdr:colOff>102053</xdr:colOff>
      <xdr:row>33</xdr:row>
      <xdr:rowOff>76200</xdr:rowOff>
    </xdr:to>
    <xdr:cxnSp macro="">
      <xdr:nvCxnSpPr>
        <xdr:cNvPr id="22441" name="직선 화살표 연결선 22440">
          <a:extLst>
            <a:ext uri="{FF2B5EF4-FFF2-40B4-BE49-F238E27FC236}">
              <a16:creationId xmlns:a16="http://schemas.microsoft.com/office/drawing/2014/main" id="{00000000-0008-0000-0300-0000A9570000}"/>
            </a:ext>
          </a:extLst>
        </xdr:cNvPr>
        <xdr:cNvCxnSpPr/>
      </xdr:nvCxnSpPr>
      <xdr:spPr>
        <a:xfrm>
          <a:off x="9798503" y="5238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32</xdr:row>
      <xdr:rowOff>19050</xdr:rowOff>
    </xdr:from>
    <xdr:to>
      <xdr:col>36</xdr:col>
      <xdr:colOff>61232</xdr:colOff>
      <xdr:row>32</xdr:row>
      <xdr:rowOff>133350</xdr:rowOff>
    </xdr:to>
    <xdr:sp macro="" textlink="">
      <xdr:nvSpPr>
        <xdr:cNvPr id="22442" name="직사각형 22441">
          <a:extLst>
            <a:ext uri="{FF2B5EF4-FFF2-40B4-BE49-F238E27FC236}">
              <a16:creationId xmlns:a16="http://schemas.microsoft.com/office/drawing/2014/main" id="{00000000-0008-0000-0300-0000AA570000}"/>
            </a:ext>
          </a:extLst>
        </xdr:cNvPr>
        <xdr:cNvSpPr/>
      </xdr:nvSpPr>
      <xdr:spPr>
        <a:xfrm>
          <a:off x="9369878" y="5029200"/>
          <a:ext cx="387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32</xdr:row>
      <xdr:rowOff>76200</xdr:rowOff>
    </xdr:from>
    <xdr:to>
      <xdr:col>33</xdr:col>
      <xdr:colOff>102053</xdr:colOff>
      <xdr:row>32</xdr:row>
      <xdr:rowOff>76200</xdr:rowOff>
    </xdr:to>
    <xdr:cxnSp macro="">
      <xdr:nvCxnSpPr>
        <xdr:cNvPr id="22443" name="직선 화살표 연결선 22442">
          <a:extLst>
            <a:ext uri="{FF2B5EF4-FFF2-40B4-BE49-F238E27FC236}">
              <a16:creationId xmlns:a16="http://schemas.microsoft.com/office/drawing/2014/main" id="{00000000-0008-0000-0300-0000AB570000}"/>
            </a:ext>
          </a:extLst>
        </xdr:cNvPr>
        <xdr:cNvCxnSpPr/>
      </xdr:nvCxnSpPr>
      <xdr:spPr>
        <a:xfrm>
          <a:off x="9369878" y="5086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31</xdr:row>
      <xdr:rowOff>19050</xdr:rowOff>
    </xdr:from>
    <xdr:to>
      <xdr:col>35</xdr:col>
      <xdr:colOff>61232</xdr:colOff>
      <xdr:row>31</xdr:row>
      <xdr:rowOff>133350</xdr:rowOff>
    </xdr:to>
    <xdr:sp macro="" textlink="">
      <xdr:nvSpPr>
        <xdr:cNvPr id="22444" name="직사각형 22443">
          <a:extLst>
            <a:ext uri="{FF2B5EF4-FFF2-40B4-BE49-F238E27FC236}">
              <a16:creationId xmlns:a16="http://schemas.microsoft.com/office/drawing/2014/main" id="{00000000-0008-0000-0300-0000AC570000}"/>
            </a:ext>
          </a:extLst>
        </xdr:cNvPr>
        <xdr:cNvSpPr/>
      </xdr:nvSpPr>
      <xdr:spPr>
        <a:xfrm>
          <a:off x="9369878" y="4876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31</xdr:row>
      <xdr:rowOff>76200</xdr:rowOff>
    </xdr:from>
    <xdr:to>
      <xdr:col>33</xdr:col>
      <xdr:colOff>102053</xdr:colOff>
      <xdr:row>31</xdr:row>
      <xdr:rowOff>76200</xdr:rowOff>
    </xdr:to>
    <xdr:cxnSp macro="">
      <xdr:nvCxnSpPr>
        <xdr:cNvPr id="22445" name="직선 화살표 연결선 22444">
          <a:extLst>
            <a:ext uri="{FF2B5EF4-FFF2-40B4-BE49-F238E27FC236}">
              <a16:creationId xmlns:a16="http://schemas.microsoft.com/office/drawing/2014/main" id="{00000000-0008-0000-0300-0000AD570000}"/>
            </a:ext>
          </a:extLst>
        </xdr:cNvPr>
        <xdr:cNvCxnSpPr/>
      </xdr:nvCxnSpPr>
      <xdr:spPr>
        <a:xfrm>
          <a:off x="9369878" y="4933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30</xdr:row>
      <xdr:rowOff>19050</xdr:rowOff>
    </xdr:from>
    <xdr:to>
      <xdr:col>34</xdr:col>
      <xdr:colOff>61232</xdr:colOff>
      <xdr:row>30</xdr:row>
      <xdr:rowOff>133350</xdr:rowOff>
    </xdr:to>
    <xdr:sp macro="" textlink="">
      <xdr:nvSpPr>
        <xdr:cNvPr id="22446" name="직사각형 22445">
          <a:extLst>
            <a:ext uri="{FF2B5EF4-FFF2-40B4-BE49-F238E27FC236}">
              <a16:creationId xmlns:a16="http://schemas.microsoft.com/office/drawing/2014/main" id="{00000000-0008-0000-0300-0000AE570000}"/>
            </a:ext>
          </a:extLst>
        </xdr:cNvPr>
        <xdr:cNvSpPr/>
      </xdr:nvSpPr>
      <xdr:spPr>
        <a:xfrm>
          <a:off x="9227003" y="47244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30</xdr:row>
      <xdr:rowOff>76200</xdr:rowOff>
    </xdr:from>
    <xdr:to>
      <xdr:col>32</xdr:col>
      <xdr:colOff>102053</xdr:colOff>
      <xdr:row>30</xdr:row>
      <xdr:rowOff>76200</xdr:rowOff>
    </xdr:to>
    <xdr:cxnSp macro="">
      <xdr:nvCxnSpPr>
        <xdr:cNvPr id="22447" name="직선 화살표 연결선 22446">
          <a:extLst>
            <a:ext uri="{FF2B5EF4-FFF2-40B4-BE49-F238E27FC236}">
              <a16:creationId xmlns:a16="http://schemas.microsoft.com/office/drawing/2014/main" id="{00000000-0008-0000-0300-0000AF570000}"/>
            </a:ext>
          </a:extLst>
        </xdr:cNvPr>
        <xdr:cNvCxnSpPr/>
      </xdr:nvCxnSpPr>
      <xdr:spPr>
        <a:xfrm>
          <a:off x="9227003" y="4781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29</xdr:row>
      <xdr:rowOff>19050</xdr:rowOff>
    </xdr:from>
    <xdr:to>
      <xdr:col>36</xdr:col>
      <xdr:colOff>61232</xdr:colOff>
      <xdr:row>29</xdr:row>
      <xdr:rowOff>133350</xdr:rowOff>
    </xdr:to>
    <xdr:sp macro="" textlink="">
      <xdr:nvSpPr>
        <xdr:cNvPr id="22448" name="직사각형 22447">
          <a:extLst>
            <a:ext uri="{FF2B5EF4-FFF2-40B4-BE49-F238E27FC236}">
              <a16:creationId xmlns:a16="http://schemas.microsoft.com/office/drawing/2014/main" id="{00000000-0008-0000-0300-0000B0570000}"/>
            </a:ext>
          </a:extLst>
        </xdr:cNvPr>
        <xdr:cNvSpPr/>
      </xdr:nvSpPr>
      <xdr:spPr>
        <a:xfrm>
          <a:off x="9227003" y="4572000"/>
          <a:ext cx="53067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29</xdr:row>
      <xdr:rowOff>76200</xdr:rowOff>
    </xdr:from>
    <xdr:to>
      <xdr:col>32</xdr:col>
      <xdr:colOff>102053</xdr:colOff>
      <xdr:row>29</xdr:row>
      <xdr:rowOff>76200</xdr:rowOff>
    </xdr:to>
    <xdr:cxnSp macro="">
      <xdr:nvCxnSpPr>
        <xdr:cNvPr id="22449" name="직선 화살표 연결선 22448">
          <a:extLst>
            <a:ext uri="{FF2B5EF4-FFF2-40B4-BE49-F238E27FC236}">
              <a16:creationId xmlns:a16="http://schemas.microsoft.com/office/drawing/2014/main" id="{00000000-0008-0000-0300-0000B1570000}"/>
            </a:ext>
          </a:extLst>
        </xdr:cNvPr>
        <xdr:cNvCxnSpPr/>
      </xdr:nvCxnSpPr>
      <xdr:spPr>
        <a:xfrm>
          <a:off x="9227003" y="4629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28</xdr:row>
      <xdr:rowOff>19050</xdr:rowOff>
    </xdr:from>
    <xdr:to>
      <xdr:col>34</xdr:col>
      <xdr:colOff>61232</xdr:colOff>
      <xdr:row>28</xdr:row>
      <xdr:rowOff>133350</xdr:rowOff>
    </xdr:to>
    <xdr:sp macro="" textlink="">
      <xdr:nvSpPr>
        <xdr:cNvPr id="22450" name="직사각형 22449">
          <a:extLst>
            <a:ext uri="{FF2B5EF4-FFF2-40B4-BE49-F238E27FC236}">
              <a16:creationId xmlns:a16="http://schemas.microsoft.com/office/drawing/2014/main" id="{00000000-0008-0000-0300-0000B2570000}"/>
            </a:ext>
          </a:extLst>
        </xdr:cNvPr>
        <xdr:cNvSpPr/>
      </xdr:nvSpPr>
      <xdr:spPr>
        <a:xfrm>
          <a:off x="9084128" y="4419600"/>
          <a:ext cx="38780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28</xdr:row>
      <xdr:rowOff>76200</xdr:rowOff>
    </xdr:from>
    <xdr:to>
      <xdr:col>32</xdr:col>
      <xdr:colOff>87154</xdr:colOff>
      <xdr:row>28</xdr:row>
      <xdr:rowOff>76200</xdr:rowOff>
    </xdr:to>
    <xdr:cxnSp macro="">
      <xdr:nvCxnSpPr>
        <xdr:cNvPr id="22451" name="직선 화살표 연결선 22450">
          <a:extLst>
            <a:ext uri="{FF2B5EF4-FFF2-40B4-BE49-F238E27FC236}">
              <a16:creationId xmlns:a16="http://schemas.microsoft.com/office/drawing/2014/main" id="{00000000-0008-0000-0300-0000B3570000}"/>
            </a:ext>
          </a:extLst>
        </xdr:cNvPr>
        <xdr:cNvCxnSpPr/>
      </xdr:nvCxnSpPr>
      <xdr:spPr>
        <a:xfrm>
          <a:off x="9084128" y="4476750"/>
          <a:ext cx="1279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27</xdr:row>
      <xdr:rowOff>19050</xdr:rowOff>
    </xdr:from>
    <xdr:to>
      <xdr:col>37</xdr:col>
      <xdr:colOff>61232</xdr:colOff>
      <xdr:row>27</xdr:row>
      <xdr:rowOff>133350</xdr:rowOff>
    </xdr:to>
    <xdr:sp macro="" textlink="">
      <xdr:nvSpPr>
        <xdr:cNvPr id="22452" name="직사각형 22451">
          <a:extLst>
            <a:ext uri="{FF2B5EF4-FFF2-40B4-BE49-F238E27FC236}">
              <a16:creationId xmlns:a16="http://schemas.microsoft.com/office/drawing/2014/main" id="{00000000-0008-0000-0300-0000B4570000}"/>
            </a:ext>
          </a:extLst>
        </xdr:cNvPr>
        <xdr:cNvSpPr/>
      </xdr:nvSpPr>
      <xdr:spPr>
        <a:xfrm>
          <a:off x="9084128" y="4267200"/>
          <a:ext cx="8164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27</xdr:row>
      <xdr:rowOff>76200</xdr:rowOff>
    </xdr:from>
    <xdr:to>
      <xdr:col>32</xdr:col>
      <xdr:colOff>37012</xdr:colOff>
      <xdr:row>27</xdr:row>
      <xdr:rowOff>76200</xdr:rowOff>
    </xdr:to>
    <xdr:cxnSp macro="">
      <xdr:nvCxnSpPr>
        <xdr:cNvPr id="22453" name="직선 화살표 연결선 22452">
          <a:extLst>
            <a:ext uri="{FF2B5EF4-FFF2-40B4-BE49-F238E27FC236}">
              <a16:creationId xmlns:a16="http://schemas.microsoft.com/office/drawing/2014/main" id="{00000000-0008-0000-0300-0000B5570000}"/>
            </a:ext>
          </a:extLst>
        </xdr:cNvPr>
        <xdr:cNvCxnSpPr/>
      </xdr:nvCxnSpPr>
      <xdr:spPr>
        <a:xfrm>
          <a:off x="9084128" y="4324350"/>
          <a:ext cx="7783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26</xdr:row>
      <xdr:rowOff>19050</xdr:rowOff>
    </xdr:from>
    <xdr:to>
      <xdr:col>31</xdr:col>
      <xdr:colOff>61232</xdr:colOff>
      <xdr:row>26</xdr:row>
      <xdr:rowOff>133350</xdr:rowOff>
    </xdr:to>
    <xdr:sp macro="" textlink="">
      <xdr:nvSpPr>
        <xdr:cNvPr id="22454" name="직사각형 22453">
          <a:extLst>
            <a:ext uri="{FF2B5EF4-FFF2-40B4-BE49-F238E27FC236}">
              <a16:creationId xmlns:a16="http://schemas.microsoft.com/office/drawing/2014/main" id="{00000000-0008-0000-0300-0000B6570000}"/>
            </a:ext>
          </a:extLst>
        </xdr:cNvPr>
        <xdr:cNvSpPr/>
      </xdr:nvSpPr>
      <xdr:spPr>
        <a:xfrm>
          <a:off x="8798378" y="41148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26</xdr:row>
      <xdr:rowOff>76200</xdr:rowOff>
    </xdr:from>
    <xdr:to>
      <xdr:col>30</xdr:col>
      <xdr:colOff>81643</xdr:colOff>
      <xdr:row>26</xdr:row>
      <xdr:rowOff>76200</xdr:rowOff>
    </xdr:to>
    <xdr:cxnSp macro="">
      <xdr:nvCxnSpPr>
        <xdr:cNvPr id="22455" name="직선 화살표 연결선 22454">
          <a:extLst>
            <a:ext uri="{FF2B5EF4-FFF2-40B4-BE49-F238E27FC236}">
              <a16:creationId xmlns:a16="http://schemas.microsoft.com/office/drawing/2014/main" id="{00000000-0008-0000-0300-0000B7570000}"/>
            </a:ext>
          </a:extLst>
        </xdr:cNvPr>
        <xdr:cNvCxnSpPr/>
      </xdr:nvCxnSpPr>
      <xdr:spPr>
        <a:xfrm>
          <a:off x="8798378" y="4171950"/>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25</xdr:row>
      <xdr:rowOff>19050</xdr:rowOff>
    </xdr:from>
    <xdr:to>
      <xdr:col>31</xdr:col>
      <xdr:colOff>61232</xdr:colOff>
      <xdr:row>25</xdr:row>
      <xdr:rowOff>133350</xdr:rowOff>
    </xdr:to>
    <xdr:sp macro="" textlink="">
      <xdr:nvSpPr>
        <xdr:cNvPr id="22456" name="직사각형 22455">
          <a:extLst>
            <a:ext uri="{FF2B5EF4-FFF2-40B4-BE49-F238E27FC236}">
              <a16:creationId xmlns:a16="http://schemas.microsoft.com/office/drawing/2014/main" id="{00000000-0008-0000-0300-0000B8570000}"/>
            </a:ext>
          </a:extLst>
        </xdr:cNvPr>
        <xdr:cNvSpPr/>
      </xdr:nvSpPr>
      <xdr:spPr>
        <a:xfrm>
          <a:off x="8798378" y="3962400"/>
          <a:ext cx="24492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25</xdr:row>
      <xdr:rowOff>76200</xdr:rowOff>
    </xdr:from>
    <xdr:to>
      <xdr:col>30</xdr:col>
      <xdr:colOff>57150</xdr:colOff>
      <xdr:row>25</xdr:row>
      <xdr:rowOff>76200</xdr:rowOff>
    </xdr:to>
    <xdr:cxnSp macro="">
      <xdr:nvCxnSpPr>
        <xdr:cNvPr id="22457" name="직선 화살표 연결선 22456">
          <a:extLst>
            <a:ext uri="{FF2B5EF4-FFF2-40B4-BE49-F238E27FC236}">
              <a16:creationId xmlns:a16="http://schemas.microsoft.com/office/drawing/2014/main" id="{00000000-0008-0000-0300-0000B9570000}"/>
            </a:ext>
          </a:extLst>
        </xdr:cNvPr>
        <xdr:cNvCxnSpPr/>
      </xdr:nvCxnSpPr>
      <xdr:spPr>
        <a:xfrm>
          <a:off x="8798378" y="4019550"/>
          <a:ext cx="9797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102053</xdr:colOff>
      <xdr:row>24</xdr:row>
      <xdr:rowOff>19050</xdr:rowOff>
    </xdr:from>
    <xdr:to>
      <xdr:col>31</xdr:col>
      <xdr:colOff>61232</xdr:colOff>
      <xdr:row>24</xdr:row>
      <xdr:rowOff>133350</xdr:rowOff>
    </xdr:to>
    <xdr:sp macro="" textlink="">
      <xdr:nvSpPr>
        <xdr:cNvPr id="22458" name="직사각형 22457">
          <a:extLst>
            <a:ext uri="{FF2B5EF4-FFF2-40B4-BE49-F238E27FC236}">
              <a16:creationId xmlns:a16="http://schemas.microsoft.com/office/drawing/2014/main" id="{00000000-0008-0000-0300-0000BA570000}"/>
            </a:ext>
          </a:extLst>
        </xdr:cNvPr>
        <xdr:cNvSpPr/>
      </xdr:nvSpPr>
      <xdr:spPr>
        <a:xfrm>
          <a:off x="8798378" y="3810000"/>
          <a:ext cx="24492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102053</xdr:colOff>
      <xdr:row>24</xdr:row>
      <xdr:rowOff>76200</xdr:rowOff>
    </xdr:from>
    <xdr:to>
      <xdr:col>30</xdr:col>
      <xdr:colOff>69397</xdr:colOff>
      <xdr:row>24</xdr:row>
      <xdr:rowOff>76200</xdr:rowOff>
    </xdr:to>
    <xdr:cxnSp macro="">
      <xdr:nvCxnSpPr>
        <xdr:cNvPr id="22459" name="직선 화살표 연결선 22458">
          <a:extLst>
            <a:ext uri="{FF2B5EF4-FFF2-40B4-BE49-F238E27FC236}">
              <a16:creationId xmlns:a16="http://schemas.microsoft.com/office/drawing/2014/main" id="{00000000-0008-0000-0300-0000BB570000}"/>
            </a:ext>
          </a:extLst>
        </xdr:cNvPr>
        <xdr:cNvCxnSpPr/>
      </xdr:nvCxnSpPr>
      <xdr:spPr>
        <a:xfrm>
          <a:off x="8798378" y="3867150"/>
          <a:ext cx="11021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23</xdr:row>
      <xdr:rowOff>19050</xdr:rowOff>
    </xdr:from>
    <xdr:to>
      <xdr:col>31</xdr:col>
      <xdr:colOff>81643</xdr:colOff>
      <xdr:row>23</xdr:row>
      <xdr:rowOff>133350</xdr:rowOff>
    </xdr:to>
    <xdr:sp macro="" textlink="">
      <xdr:nvSpPr>
        <xdr:cNvPr id="22460" name="직사각형 22459">
          <a:extLst>
            <a:ext uri="{FF2B5EF4-FFF2-40B4-BE49-F238E27FC236}">
              <a16:creationId xmlns:a16="http://schemas.microsoft.com/office/drawing/2014/main" id="{00000000-0008-0000-0300-0000BC570000}"/>
            </a:ext>
          </a:extLst>
        </xdr:cNvPr>
        <xdr:cNvSpPr/>
      </xdr:nvSpPr>
      <xdr:spPr>
        <a:xfrm>
          <a:off x="8675915" y="3657600"/>
          <a:ext cx="387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23</xdr:row>
      <xdr:rowOff>76200</xdr:rowOff>
    </xdr:from>
    <xdr:to>
      <xdr:col>30</xdr:col>
      <xdr:colOff>11226</xdr:colOff>
      <xdr:row>23</xdr:row>
      <xdr:rowOff>76200</xdr:rowOff>
    </xdr:to>
    <xdr:cxnSp macro="">
      <xdr:nvCxnSpPr>
        <xdr:cNvPr id="22461" name="직선 화살표 연결선 22460">
          <a:extLst>
            <a:ext uri="{FF2B5EF4-FFF2-40B4-BE49-F238E27FC236}">
              <a16:creationId xmlns:a16="http://schemas.microsoft.com/office/drawing/2014/main" id="{00000000-0008-0000-0300-0000BD570000}"/>
            </a:ext>
          </a:extLst>
        </xdr:cNvPr>
        <xdr:cNvCxnSpPr/>
      </xdr:nvCxnSpPr>
      <xdr:spPr>
        <a:xfrm>
          <a:off x="8675915" y="3714750"/>
          <a:ext cx="174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22</xdr:row>
      <xdr:rowOff>19050</xdr:rowOff>
    </xdr:from>
    <xdr:to>
      <xdr:col>31</xdr:col>
      <xdr:colOff>81643</xdr:colOff>
      <xdr:row>22</xdr:row>
      <xdr:rowOff>133350</xdr:rowOff>
    </xdr:to>
    <xdr:sp macro="" textlink="">
      <xdr:nvSpPr>
        <xdr:cNvPr id="22462" name="직사각형 22461">
          <a:extLst>
            <a:ext uri="{FF2B5EF4-FFF2-40B4-BE49-F238E27FC236}">
              <a16:creationId xmlns:a16="http://schemas.microsoft.com/office/drawing/2014/main" id="{00000000-0008-0000-0300-0000BE570000}"/>
            </a:ext>
          </a:extLst>
        </xdr:cNvPr>
        <xdr:cNvSpPr/>
      </xdr:nvSpPr>
      <xdr:spPr>
        <a:xfrm>
          <a:off x="8675915" y="3505200"/>
          <a:ext cx="387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22</xdr:row>
      <xdr:rowOff>76200</xdr:rowOff>
    </xdr:from>
    <xdr:to>
      <xdr:col>30</xdr:col>
      <xdr:colOff>11226</xdr:colOff>
      <xdr:row>22</xdr:row>
      <xdr:rowOff>76200</xdr:rowOff>
    </xdr:to>
    <xdr:cxnSp macro="">
      <xdr:nvCxnSpPr>
        <xdr:cNvPr id="22463" name="직선 화살표 연결선 22462">
          <a:extLst>
            <a:ext uri="{FF2B5EF4-FFF2-40B4-BE49-F238E27FC236}">
              <a16:creationId xmlns:a16="http://schemas.microsoft.com/office/drawing/2014/main" id="{00000000-0008-0000-0300-0000BF570000}"/>
            </a:ext>
          </a:extLst>
        </xdr:cNvPr>
        <xdr:cNvCxnSpPr/>
      </xdr:nvCxnSpPr>
      <xdr:spPr>
        <a:xfrm>
          <a:off x="8675915" y="3562350"/>
          <a:ext cx="1745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21</xdr:row>
      <xdr:rowOff>19050</xdr:rowOff>
    </xdr:from>
    <xdr:to>
      <xdr:col>46</xdr:col>
      <xdr:colOff>122465</xdr:colOff>
      <xdr:row>21</xdr:row>
      <xdr:rowOff>133350</xdr:rowOff>
    </xdr:to>
    <xdr:sp macro="" textlink="">
      <xdr:nvSpPr>
        <xdr:cNvPr id="22464" name="직사각형 22463">
          <a:extLst>
            <a:ext uri="{FF2B5EF4-FFF2-40B4-BE49-F238E27FC236}">
              <a16:creationId xmlns:a16="http://schemas.microsoft.com/office/drawing/2014/main" id="{00000000-0008-0000-0300-0000C0570000}"/>
            </a:ext>
          </a:extLst>
        </xdr:cNvPr>
        <xdr:cNvSpPr/>
      </xdr:nvSpPr>
      <xdr:spPr>
        <a:xfrm>
          <a:off x="8675915" y="3352800"/>
          <a:ext cx="257175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21</xdr:row>
      <xdr:rowOff>76200</xdr:rowOff>
    </xdr:from>
    <xdr:to>
      <xdr:col>30</xdr:col>
      <xdr:colOff>35057</xdr:colOff>
      <xdr:row>21</xdr:row>
      <xdr:rowOff>76200</xdr:rowOff>
    </xdr:to>
    <xdr:cxnSp macro="">
      <xdr:nvCxnSpPr>
        <xdr:cNvPr id="22465" name="직선 화살표 연결선 22464">
          <a:extLst>
            <a:ext uri="{FF2B5EF4-FFF2-40B4-BE49-F238E27FC236}">
              <a16:creationId xmlns:a16="http://schemas.microsoft.com/office/drawing/2014/main" id="{00000000-0008-0000-0300-0000C1570000}"/>
            </a:ext>
          </a:extLst>
        </xdr:cNvPr>
        <xdr:cNvCxnSpPr/>
      </xdr:nvCxnSpPr>
      <xdr:spPr>
        <a:xfrm>
          <a:off x="8675915" y="3409950"/>
          <a:ext cx="1983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122465</xdr:colOff>
      <xdr:row>20</xdr:row>
      <xdr:rowOff>19050</xdr:rowOff>
    </xdr:from>
    <xdr:to>
      <xdr:col>50</xdr:col>
      <xdr:colOff>0</xdr:colOff>
      <xdr:row>20</xdr:row>
      <xdr:rowOff>133350</xdr:rowOff>
    </xdr:to>
    <xdr:sp macro="" textlink="">
      <xdr:nvSpPr>
        <xdr:cNvPr id="22466" name="직사각형 22465">
          <a:extLst>
            <a:ext uri="{FF2B5EF4-FFF2-40B4-BE49-F238E27FC236}">
              <a16:creationId xmlns:a16="http://schemas.microsoft.com/office/drawing/2014/main" id="{00000000-0008-0000-0300-0000C2570000}"/>
            </a:ext>
          </a:extLst>
        </xdr:cNvPr>
        <xdr:cNvSpPr/>
      </xdr:nvSpPr>
      <xdr:spPr>
        <a:xfrm>
          <a:off x="11676290" y="32004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122465</xdr:colOff>
      <xdr:row>20</xdr:row>
      <xdr:rowOff>76200</xdr:rowOff>
    </xdr:from>
    <xdr:to>
      <xdr:col>49</xdr:col>
      <xdr:colOff>122465</xdr:colOff>
      <xdr:row>20</xdr:row>
      <xdr:rowOff>76200</xdr:rowOff>
    </xdr:to>
    <xdr:cxnSp macro="">
      <xdr:nvCxnSpPr>
        <xdr:cNvPr id="22467" name="직선 화살표 연결선 22466">
          <a:extLst>
            <a:ext uri="{FF2B5EF4-FFF2-40B4-BE49-F238E27FC236}">
              <a16:creationId xmlns:a16="http://schemas.microsoft.com/office/drawing/2014/main" id="{00000000-0008-0000-0300-0000C3570000}"/>
            </a:ext>
          </a:extLst>
        </xdr:cNvPr>
        <xdr:cNvCxnSpPr/>
      </xdr:nvCxnSpPr>
      <xdr:spPr>
        <a:xfrm>
          <a:off x="11676290" y="3257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122465</xdr:colOff>
      <xdr:row>19</xdr:row>
      <xdr:rowOff>19050</xdr:rowOff>
    </xdr:from>
    <xdr:to>
      <xdr:col>50</xdr:col>
      <xdr:colOff>0</xdr:colOff>
      <xdr:row>19</xdr:row>
      <xdr:rowOff>133350</xdr:rowOff>
    </xdr:to>
    <xdr:sp macro="" textlink="">
      <xdr:nvSpPr>
        <xdr:cNvPr id="22468" name="직사각형 22467">
          <a:extLst>
            <a:ext uri="{FF2B5EF4-FFF2-40B4-BE49-F238E27FC236}">
              <a16:creationId xmlns:a16="http://schemas.microsoft.com/office/drawing/2014/main" id="{00000000-0008-0000-0300-0000C4570000}"/>
            </a:ext>
          </a:extLst>
        </xdr:cNvPr>
        <xdr:cNvSpPr/>
      </xdr:nvSpPr>
      <xdr:spPr>
        <a:xfrm>
          <a:off x="11676290" y="3048000"/>
          <a:ext cx="204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122465</xdr:colOff>
      <xdr:row>19</xdr:row>
      <xdr:rowOff>76200</xdr:rowOff>
    </xdr:from>
    <xdr:to>
      <xdr:col>49</xdr:col>
      <xdr:colOff>122465</xdr:colOff>
      <xdr:row>19</xdr:row>
      <xdr:rowOff>76200</xdr:rowOff>
    </xdr:to>
    <xdr:cxnSp macro="">
      <xdr:nvCxnSpPr>
        <xdr:cNvPr id="22469" name="직선 화살표 연결선 22468">
          <a:extLst>
            <a:ext uri="{FF2B5EF4-FFF2-40B4-BE49-F238E27FC236}">
              <a16:creationId xmlns:a16="http://schemas.microsoft.com/office/drawing/2014/main" id="{00000000-0008-0000-0300-0000C5570000}"/>
            </a:ext>
          </a:extLst>
        </xdr:cNvPr>
        <xdr:cNvCxnSpPr/>
      </xdr:nvCxnSpPr>
      <xdr:spPr>
        <a:xfrm>
          <a:off x="11676290" y="3105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40822</xdr:colOff>
      <xdr:row>18</xdr:row>
      <xdr:rowOff>19050</xdr:rowOff>
    </xdr:from>
    <xdr:to>
      <xdr:col>50</xdr:col>
      <xdr:colOff>0</xdr:colOff>
      <xdr:row>18</xdr:row>
      <xdr:rowOff>133350</xdr:rowOff>
    </xdr:to>
    <xdr:sp macro="" textlink="">
      <xdr:nvSpPr>
        <xdr:cNvPr id="22470" name="직사각형 22469">
          <a:extLst>
            <a:ext uri="{FF2B5EF4-FFF2-40B4-BE49-F238E27FC236}">
              <a16:creationId xmlns:a16="http://schemas.microsoft.com/office/drawing/2014/main" id="{00000000-0008-0000-0300-0000C6570000}"/>
            </a:ext>
          </a:extLst>
        </xdr:cNvPr>
        <xdr:cNvSpPr/>
      </xdr:nvSpPr>
      <xdr:spPr>
        <a:xfrm>
          <a:off x="11308897" y="2895600"/>
          <a:ext cx="3878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47</xdr:col>
      <xdr:colOff>40822</xdr:colOff>
      <xdr:row>18</xdr:row>
      <xdr:rowOff>76200</xdr:rowOff>
    </xdr:from>
    <xdr:to>
      <xdr:col>47</xdr:col>
      <xdr:colOff>40822</xdr:colOff>
      <xdr:row>18</xdr:row>
      <xdr:rowOff>76200</xdr:rowOff>
    </xdr:to>
    <xdr:cxnSp macro="">
      <xdr:nvCxnSpPr>
        <xdr:cNvPr id="22471" name="직선 화살표 연결선 22470">
          <a:extLst>
            <a:ext uri="{FF2B5EF4-FFF2-40B4-BE49-F238E27FC236}">
              <a16:creationId xmlns:a16="http://schemas.microsoft.com/office/drawing/2014/main" id="{00000000-0008-0000-0300-0000C7570000}"/>
            </a:ext>
          </a:extLst>
        </xdr:cNvPr>
        <xdr:cNvCxnSpPr/>
      </xdr:nvCxnSpPr>
      <xdr:spPr>
        <a:xfrm>
          <a:off x="11308897" y="2952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17</xdr:row>
      <xdr:rowOff>19050</xdr:rowOff>
    </xdr:from>
    <xdr:to>
      <xdr:col>47</xdr:col>
      <xdr:colOff>0</xdr:colOff>
      <xdr:row>17</xdr:row>
      <xdr:rowOff>133350</xdr:rowOff>
    </xdr:to>
    <xdr:sp macro="" textlink="">
      <xdr:nvSpPr>
        <xdr:cNvPr id="22472" name="직사각형 22471">
          <a:extLst>
            <a:ext uri="{FF2B5EF4-FFF2-40B4-BE49-F238E27FC236}">
              <a16:creationId xmlns:a16="http://schemas.microsoft.com/office/drawing/2014/main" id="{00000000-0008-0000-0300-0000C8570000}"/>
            </a:ext>
          </a:extLst>
        </xdr:cNvPr>
        <xdr:cNvSpPr/>
      </xdr:nvSpPr>
      <xdr:spPr>
        <a:xfrm>
          <a:off x="11166022" y="2743200"/>
          <a:ext cx="102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17</xdr:row>
      <xdr:rowOff>76200</xdr:rowOff>
    </xdr:from>
    <xdr:to>
      <xdr:col>46</xdr:col>
      <xdr:colOff>40822</xdr:colOff>
      <xdr:row>17</xdr:row>
      <xdr:rowOff>76200</xdr:rowOff>
    </xdr:to>
    <xdr:cxnSp macro="">
      <xdr:nvCxnSpPr>
        <xdr:cNvPr id="22473" name="직선 화살표 연결선 22472">
          <a:extLst>
            <a:ext uri="{FF2B5EF4-FFF2-40B4-BE49-F238E27FC236}">
              <a16:creationId xmlns:a16="http://schemas.microsoft.com/office/drawing/2014/main" id="{00000000-0008-0000-0300-0000C9570000}"/>
            </a:ext>
          </a:extLst>
        </xdr:cNvPr>
        <xdr:cNvCxnSpPr/>
      </xdr:nvCxnSpPr>
      <xdr:spPr>
        <a:xfrm>
          <a:off x="11166022" y="2800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40822</xdr:colOff>
      <xdr:row>16</xdr:row>
      <xdr:rowOff>19050</xdr:rowOff>
    </xdr:from>
    <xdr:to>
      <xdr:col>50</xdr:col>
      <xdr:colOff>0</xdr:colOff>
      <xdr:row>16</xdr:row>
      <xdr:rowOff>133350</xdr:rowOff>
    </xdr:to>
    <xdr:sp macro="" textlink="">
      <xdr:nvSpPr>
        <xdr:cNvPr id="22474" name="직사각형 22473">
          <a:extLst>
            <a:ext uri="{FF2B5EF4-FFF2-40B4-BE49-F238E27FC236}">
              <a16:creationId xmlns:a16="http://schemas.microsoft.com/office/drawing/2014/main" id="{00000000-0008-0000-0300-0000CA570000}"/>
            </a:ext>
          </a:extLst>
        </xdr:cNvPr>
        <xdr:cNvSpPr/>
      </xdr:nvSpPr>
      <xdr:spPr>
        <a:xfrm>
          <a:off x="11166022" y="2590800"/>
          <a:ext cx="5306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40822</xdr:colOff>
      <xdr:row>16</xdr:row>
      <xdr:rowOff>76200</xdr:rowOff>
    </xdr:from>
    <xdr:to>
      <xdr:col>46</xdr:col>
      <xdr:colOff>40822</xdr:colOff>
      <xdr:row>16</xdr:row>
      <xdr:rowOff>76200</xdr:rowOff>
    </xdr:to>
    <xdr:cxnSp macro="">
      <xdr:nvCxnSpPr>
        <xdr:cNvPr id="22475" name="직선 화살표 연결선 22474">
          <a:extLst>
            <a:ext uri="{FF2B5EF4-FFF2-40B4-BE49-F238E27FC236}">
              <a16:creationId xmlns:a16="http://schemas.microsoft.com/office/drawing/2014/main" id="{00000000-0008-0000-0300-0000CB570000}"/>
            </a:ext>
          </a:extLst>
        </xdr:cNvPr>
        <xdr:cNvCxnSpPr/>
      </xdr:nvCxnSpPr>
      <xdr:spPr>
        <a:xfrm>
          <a:off x="11166022" y="2647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14</xdr:row>
      <xdr:rowOff>19050</xdr:rowOff>
    </xdr:from>
    <xdr:to>
      <xdr:col>31</xdr:col>
      <xdr:colOff>81643</xdr:colOff>
      <xdr:row>14</xdr:row>
      <xdr:rowOff>133350</xdr:rowOff>
    </xdr:to>
    <xdr:sp macro="" textlink="">
      <xdr:nvSpPr>
        <xdr:cNvPr id="22476" name="직사각형 22475">
          <a:extLst>
            <a:ext uri="{FF2B5EF4-FFF2-40B4-BE49-F238E27FC236}">
              <a16:creationId xmlns:a16="http://schemas.microsoft.com/office/drawing/2014/main" id="{00000000-0008-0000-0300-0000CC570000}"/>
            </a:ext>
          </a:extLst>
        </xdr:cNvPr>
        <xdr:cNvSpPr/>
      </xdr:nvSpPr>
      <xdr:spPr>
        <a:xfrm>
          <a:off x="9043307" y="2286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14</xdr:row>
      <xdr:rowOff>76200</xdr:rowOff>
    </xdr:from>
    <xdr:to>
      <xdr:col>31</xdr:col>
      <xdr:colOff>61232</xdr:colOff>
      <xdr:row>14</xdr:row>
      <xdr:rowOff>76200</xdr:rowOff>
    </xdr:to>
    <xdr:cxnSp macro="">
      <xdr:nvCxnSpPr>
        <xdr:cNvPr id="22477" name="직선 화살표 연결선 22476">
          <a:extLst>
            <a:ext uri="{FF2B5EF4-FFF2-40B4-BE49-F238E27FC236}">
              <a16:creationId xmlns:a16="http://schemas.microsoft.com/office/drawing/2014/main" id="{00000000-0008-0000-0300-0000CD570000}"/>
            </a:ext>
          </a:extLst>
        </xdr:cNvPr>
        <xdr:cNvCxnSpPr/>
      </xdr:nvCxnSpPr>
      <xdr:spPr>
        <a:xfrm>
          <a:off x="9043307" y="2343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13</xdr:row>
      <xdr:rowOff>19050</xdr:rowOff>
    </xdr:from>
    <xdr:to>
      <xdr:col>45</xdr:col>
      <xdr:colOff>40822</xdr:colOff>
      <xdr:row>13</xdr:row>
      <xdr:rowOff>133350</xdr:rowOff>
    </xdr:to>
    <xdr:sp macro="" textlink="">
      <xdr:nvSpPr>
        <xdr:cNvPr id="22478" name="직사각형 22477">
          <a:extLst>
            <a:ext uri="{FF2B5EF4-FFF2-40B4-BE49-F238E27FC236}">
              <a16:creationId xmlns:a16="http://schemas.microsoft.com/office/drawing/2014/main" id="{00000000-0008-0000-0300-0000CE570000}"/>
            </a:ext>
          </a:extLst>
        </xdr:cNvPr>
        <xdr:cNvSpPr/>
      </xdr:nvSpPr>
      <xdr:spPr>
        <a:xfrm>
          <a:off x="10492468" y="2133600"/>
          <a:ext cx="530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13</xdr:row>
      <xdr:rowOff>76200</xdr:rowOff>
    </xdr:from>
    <xdr:to>
      <xdr:col>41</xdr:col>
      <xdr:colOff>81643</xdr:colOff>
      <xdr:row>13</xdr:row>
      <xdr:rowOff>76200</xdr:rowOff>
    </xdr:to>
    <xdr:cxnSp macro="">
      <xdr:nvCxnSpPr>
        <xdr:cNvPr id="22479" name="직선 화살표 연결선 22478">
          <a:extLst>
            <a:ext uri="{FF2B5EF4-FFF2-40B4-BE49-F238E27FC236}">
              <a16:creationId xmlns:a16="http://schemas.microsoft.com/office/drawing/2014/main" id="{00000000-0008-0000-0300-0000CF570000}"/>
            </a:ext>
          </a:extLst>
        </xdr:cNvPr>
        <xdr:cNvCxnSpPr/>
      </xdr:nvCxnSpPr>
      <xdr:spPr>
        <a:xfrm>
          <a:off x="10492468" y="21907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61232</xdr:colOff>
      <xdr:row>12</xdr:row>
      <xdr:rowOff>19050</xdr:rowOff>
    </xdr:from>
    <xdr:to>
      <xdr:col>36</xdr:col>
      <xdr:colOff>81643</xdr:colOff>
      <xdr:row>12</xdr:row>
      <xdr:rowOff>133350</xdr:rowOff>
    </xdr:to>
    <xdr:sp macro="" textlink="">
      <xdr:nvSpPr>
        <xdr:cNvPr id="22480" name="직사각형 22479">
          <a:extLst>
            <a:ext uri="{FF2B5EF4-FFF2-40B4-BE49-F238E27FC236}">
              <a16:creationId xmlns:a16="http://schemas.microsoft.com/office/drawing/2014/main" id="{00000000-0008-0000-0300-0000D0570000}"/>
            </a:ext>
          </a:extLst>
        </xdr:cNvPr>
        <xdr:cNvSpPr/>
      </xdr:nvSpPr>
      <xdr:spPr>
        <a:xfrm>
          <a:off x="9757682" y="19812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61232</xdr:colOff>
      <xdr:row>12</xdr:row>
      <xdr:rowOff>76200</xdr:rowOff>
    </xdr:from>
    <xdr:to>
      <xdr:col>36</xdr:col>
      <xdr:colOff>61232</xdr:colOff>
      <xdr:row>12</xdr:row>
      <xdr:rowOff>76200</xdr:rowOff>
    </xdr:to>
    <xdr:cxnSp macro="">
      <xdr:nvCxnSpPr>
        <xdr:cNvPr id="22481" name="직선 화살표 연결선 22480">
          <a:extLst>
            <a:ext uri="{FF2B5EF4-FFF2-40B4-BE49-F238E27FC236}">
              <a16:creationId xmlns:a16="http://schemas.microsoft.com/office/drawing/2014/main" id="{00000000-0008-0000-0300-0000D1570000}"/>
            </a:ext>
          </a:extLst>
        </xdr:cNvPr>
        <xdr:cNvCxnSpPr/>
      </xdr:nvCxnSpPr>
      <xdr:spPr>
        <a:xfrm>
          <a:off x="9757682" y="20383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122465</xdr:colOff>
      <xdr:row>11</xdr:row>
      <xdr:rowOff>19050</xdr:rowOff>
    </xdr:from>
    <xdr:to>
      <xdr:col>32</xdr:col>
      <xdr:colOff>81643</xdr:colOff>
      <xdr:row>11</xdr:row>
      <xdr:rowOff>133350</xdr:rowOff>
    </xdr:to>
    <xdr:sp macro="" textlink="">
      <xdr:nvSpPr>
        <xdr:cNvPr id="22482" name="직사각형 22481">
          <a:extLst>
            <a:ext uri="{FF2B5EF4-FFF2-40B4-BE49-F238E27FC236}">
              <a16:creationId xmlns:a16="http://schemas.microsoft.com/office/drawing/2014/main" id="{00000000-0008-0000-0300-0000D2570000}"/>
            </a:ext>
          </a:extLst>
        </xdr:cNvPr>
        <xdr:cNvSpPr/>
      </xdr:nvSpPr>
      <xdr:spPr>
        <a:xfrm>
          <a:off x="9104540" y="1828800"/>
          <a:ext cx="10205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122465</xdr:colOff>
      <xdr:row>11</xdr:row>
      <xdr:rowOff>76200</xdr:rowOff>
    </xdr:from>
    <xdr:to>
      <xdr:col>31</xdr:col>
      <xdr:colOff>122465</xdr:colOff>
      <xdr:row>11</xdr:row>
      <xdr:rowOff>76200</xdr:rowOff>
    </xdr:to>
    <xdr:cxnSp macro="">
      <xdr:nvCxnSpPr>
        <xdr:cNvPr id="22483" name="직선 화살표 연결선 22482">
          <a:extLst>
            <a:ext uri="{FF2B5EF4-FFF2-40B4-BE49-F238E27FC236}">
              <a16:creationId xmlns:a16="http://schemas.microsoft.com/office/drawing/2014/main" id="{00000000-0008-0000-0300-0000D3570000}"/>
            </a:ext>
          </a:extLst>
        </xdr:cNvPr>
        <xdr:cNvCxnSpPr/>
      </xdr:nvCxnSpPr>
      <xdr:spPr>
        <a:xfrm>
          <a:off x="9104540" y="18859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10</xdr:row>
      <xdr:rowOff>19050</xdr:rowOff>
    </xdr:from>
    <xdr:to>
      <xdr:col>45</xdr:col>
      <xdr:colOff>40822</xdr:colOff>
      <xdr:row>10</xdr:row>
      <xdr:rowOff>133350</xdr:rowOff>
    </xdr:to>
    <xdr:sp macro="" textlink="">
      <xdr:nvSpPr>
        <xdr:cNvPr id="22484" name="직사각형 22483">
          <a:extLst>
            <a:ext uri="{FF2B5EF4-FFF2-40B4-BE49-F238E27FC236}">
              <a16:creationId xmlns:a16="http://schemas.microsoft.com/office/drawing/2014/main" id="{00000000-0008-0000-0300-0000D4570000}"/>
            </a:ext>
          </a:extLst>
        </xdr:cNvPr>
        <xdr:cNvSpPr/>
      </xdr:nvSpPr>
      <xdr:spPr>
        <a:xfrm>
          <a:off x="9043307" y="1676400"/>
          <a:ext cx="197984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10</xdr:row>
      <xdr:rowOff>76200</xdr:rowOff>
    </xdr:from>
    <xdr:to>
      <xdr:col>31</xdr:col>
      <xdr:colOff>61232</xdr:colOff>
      <xdr:row>10</xdr:row>
      <xdr:rowOff>76200</xdr:rowOff>
    </xdr:to>
    <xdr:cxnSp macro="">
      <xdr:nvCxnSpPr>
        <xdr:cNvPr id="22485" name="직선 화살표 연결선 22484">
          <a:extLst>
            <a:ext uri="{FF2B5EF4-FFF2-40B4-BE49-F238E27FC236}">
              <a16:creationId xmlns:a16="http://schemas.microsoft.com/office/drawing/2014/main" id="{00000000-0008-0000-0300-0000D5570000}"/>
            </a:ext>
          </a:extLst>
        </xdr:cNvPr>
        <xdr:cNvCxnSpPr/>
      </xdr:nvCxnSpPr>
      <xdr:spPr>
        <a:xfrm>
          <a:off x="9043307" y="17335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61232</xdr:colOff>
      <xdr:row>9</xdr:row>
      <xdr:rowOff>19050</xdr:rowOff>
    </xdr:from>
    <xdr:to>
      <xdr:col>31</xdr:col>
      <xdr:colOff>81643</xdr:colOff>
      <xdr:row>9</xdr:row>
      <xdr:rowOff>133350</xdr:rowOff>
    </xdr:to>
    <xdr:sp macro="" textlink="">
      <xdr:nvSpPr>
        <xdr:cNvPr id="22486" name="직사각형 22485">
          <a:extLst>
            <a:ext uri="{FF2B5EF4-FFF2-40B4-BE49-F238E27FC236}">
              <a16:creationId xmlns:a16="http://schemas.microsoft.com/office/drawing/2014/main" id="{00000000-0008-0000-0300-0000D6570000}"/>
            </a:ext>
          </a:extLst>
        </xdr:cNvPr>
        <xdr:cNvSpPr/>
      </xdr:nvSpPr>
      <xdr:spPr>
        <a:xfrm>
          <a:off x="9043307" y="1524000"/>
          <a:ext cx="204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61232</xdr:colOff>
      <xdr:row>9</xdr:row>
      <xdr:rowOff>76200</xdr:rowOff>
    </xdr:from>
    <xdr:to>
      <xdr:col>31</xdr:col>
      <xdr:colOff>61232</xdr:colOff>
      <xdr:row>9</xdr:row>
      <xdr:rowOff>76200</xdr:rowOff>
    </xdr:to>
    <xdr:cxnSp macro="">
      <xdr:nvCxnSpPr>
        <xdr:cNvPr id="22487" name="직선 화살표 연결선 22486">
          <a:extLst>
            <a:ext uri="{FF2B5EF4-FFF2-40B4-BE49-F238E27FC236}">
              <a16:creationId xmlns:a16="http://schemas.microsoft.com/office/drawing/2014/main" id="{00000000-0008-0000-0300-0000D7570000}"/>
            </a:ext>
          </a:extLst>
        </xdr:cNvPr>
        <xdr:cNvCxnSpPr/>
      </xdr:nvCxnSpPr>
      <xdr:spPr>
        <a:xfrm>
          <a:off x="9043307" y="1581150"/>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8</xdr:row>
      <xdr:rowOff>19050</xdr:rowOff>
    </xdr:from>
    <xdr:to>
      <xdr:col>29</xdr:col>
      <xdr:colOff>122465</xdr:colOff>
      <xdr:row>8</xdr:row>
      <xdr:rowOff>133350</xdr:rowOff>
    </xdr:to>
    <xdr:sp macro="" textlink="">
      <xdr:nvSpPr>
        <xdr:cNvPr id="22488" name="직사각형 22487">
          <a:extLst>
            <a:ext uri="{FF2B5EF4-FFF2-40B4-BE49-F238E27FC236}">
              <a16:creationId xmlns:a16="http://schemas.microsoft.com/office/drawing/2014/main" id="{00000000-0008-0000-0300-0000D8570000}"/>
            </a:ext>
          </a:extLst>
        </xdr:cNvPr>
        <xdr:cNvSpPr/>
      </xdr:nvSpPr>
      <xdr:spPr>
        <a:xfrm>
          <a:off x="8675915" y="1371600"/>
          <a:ext cx="14287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8</xdr:row>
      <xdr:rowOff>76200</xdr:rowOff>
    </xdr:from>
    <xdr:to>
      <xdr:col>29</xdr:col>
      <xdr:colOff>122465</xdr:colOff>
      <xdr:row>8</xdr:row>
      <xdr:rowOff>76200</xdr:rowOff>
    </xdr:to>
    <xdr:cxnSp macro="">
      <xdr:nvCxnSpPr>
        <xdr:cNvPr id="22489" name="직선 화살표 연결선 22488">
          <a:extLst>
            <a:ext uri="{FF2B5EF4-FFF2-40B4-BE49-F238E27FC236}">
              <a16:creationId xmlns:a16="http://schemas.microsoft.com/office/drawing/2014/main" id="{00000000-0008-0000-0300-0000D9570000}"/>
            </a:ext>
          </a:extLst>
        </xdr:cNvPr>
        <xdr:cNvCxnSpPr/>
      </xdr:nvCxnSpPr>
      <xdr:spPr>
        <a:xfrm>
          <a:off x="8675915" y="1428750"/>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122465</xdr:colOff>
      <xdr:row>7</xdr:row>
      <xdr:rowOff>19050</xdr:rowOff>
    </xdr:from>
    <xdr:to>
      <xdr:col>31</xdr:col>
      <xdr:colOff>81643</xdr:colOff>
      <xdr:row>7</xdr:row>
      <xdr:rowOff>133350</xdr:rowOff>
    </xdr:to>
    <xdr:sp macro="" textlink="">
      <xdr:nvSpPr>
        <xdr:cNvPr id="22490" name="직사각형 22489">
          <a:extLst>
            <a:ext uri="{FF2B5EF4-FFF2-40B4-BE49-F238E27FC236}">
              <a16:creationId xmlns:a16="http://schemas.microsoft.com/office/drawing/2014/main" id="{00000000-0008-0000-0300-0000DA570000}"/>
            </a:ext>
          </a:extLst>
        </xdr:cNvPr>
        <xdr:cNvSpPr/>
      </xdr:nvSpPr>
      <xdr:spPr>
        <a:xfrm>
          <a:off x="8675915" y="1219200"/>
          <a:ext cx="38780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122465</xdr:colOff>
      <xdr:row>7</xdr:row>
      <xdr:rowOff>76200</xdr:rowOff>
    </xdr:from>
    <xdr:to>
      <xdr:col>31</xdr:col>
      <xdr:colOff>4083</xdr:colOff>
      <xdr:row>7</xdr:row>
      <xdr:rowOff>76200</xdr:rowOff>
    </xdr:to>
    <xdr:cxnSp macro="">
      <xdr:nvCxnSpPr>
        <xdr:cNvPr id="22491" name="직선 화살표 연결선 22490">
          <a:extLst>
            <a:ext uri="{FF2B5EF4-FFF2-40B4-BE49-F238E27FC236}">
              <a16:creationId xmlns:a16="http://schemas.microsoft.com/office/drawing/2014/main" id="{00000000-0008-0000-0300-0000DB570000}"/>
            </a:ext>
          </a:extLst>
        </xdr:cNvPr>
        <xdr:cNvCxnSpPr/>
      </xdr:nvCxnSpPr>
      <xdr:spPr>
        <a:xfrm>
          <a:off x="8675915" y="1276350"/>
          <a:ext cx="3102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6</xdr:row>
      <xdr:rowOff>19050</xdr:rowOff>
    </xdr:from>
    <xdr:to>
      <xdr:col>28</xdr:col>
      <xdr:colOff>81643</xdr:colOff>
      <xdr:row>6</xdr:row>
      <xdr:rowOff>133350</xdr:rowOff>
    </xdr:to>
    <xdr:sp macro="" textlink="">
      <xdr:nvSpPr>
        <xdr:cNvPr id="22492" name="직사각형 22491">
          <a:extLst>
            <a:ext uri="{FF2B5EF4-FFF2-40B4-BE49-F238E27FC236}">
              <a16:creationId xmlns:a16="http://schemas.microsoft.com/office/drawing/2014/main" id="{00000000-0008-0000-0300-0000DC570000}"/>
            </a:ext>
          </a:extLst>
        </xdr:cNvPr>
        <xdr:cNvSpPr/>
      </xdr:nvSpPr>
      <xdr:spPr>
        <a:xfrm>
          <a:off x="8594272" y="1066800"/>
          <a:ext cx="4082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6</xdr:row>
      <xdr:rowOff>76200</xdr:rowOff>
    </xdr:from>
    <xdr:to>
      <xdr:col>28</xdr:col>
      <xdr:colOff>81643</xdr:colOff>
      <xdr:row>6</xdr:row>
      <xdr:rowOff>76200</xdr:rowOff>
    </xdr:to>
    <xdr:cxnSp macro="">
      <xdr:nvCxnSpPr>
        <xdr:cNvPr id="22493" name="직선 화살표 연결선 22492">
          <a:extLst>
            <a:ext uri="{FF2B5EF4-FFF2-40B4-BE49-F238E27FC236}">
              <a16:creationId xmlns:a16="http://schemas.microsoft.com/office/drawing/2014/main" id="{00000000-0008-0000-0300-0000DD570000}"/>
            </a:ext>
          </a:extLst>
        </xdr:cNvPr>
        <xdr:cNvCxnSpPr/>
      </xdr:nvCxnSpPr>
      <xdr:spPr>
        <a:xfrm>
          <a:off x="8594272" y="1123950"/>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5</xdr:row>
      <xdr:rowOff>19050</xdr:rowOff>
    </xdr:from>
    <xdr:to>
      <xdr:col>31</xdr:col>
      <xdr:colOff>81643</xdr:colOff>
      <xdr:row>5</xdr:row>
      <xdr:rowOff>133350</xdr:rowOff>
    </xdr:to>
    <xdr:sp macro="" textlink="">
      <xdr:nvSpPr>
        <xdr:cNvPr id="22494" name="직사각형 22493">
          <a:extLst>
            <a:ext uri="{FF2B5EF4-FFF2-40B4-BE49-F238E27FC236}">
              <a16:creationId xmlns:a16="http://schemas.microsoft.com/office/drawing/2014/main" id="{00000000-0008-0000-0300-0000DE570000}"/>
            </a:ext>
          </a:extLst>
        </xdr:cNvPr>
        <xdr:cNvSpPr/>
      </xdr:nvSpPr>
      <xdr:spPr>
        <a:xfrm>
          <a:off x="8594272" y="914400"/>
          <a:ext cx="46944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5</xdr:row>
      <xdr:rowOff>76200</xdr:rowOff>
    </xdr:from>
    <xdr:to>
      <xdr:col>31</xdr:col>
      <xdr:colOff>3402</xdr:colOff>
      <xdr:row>5</xdr:row>
      <xdr:rowOff>76200</xdr:rowOff>
    </xdr:to>
    <xdr:cxnSp macro="">
      <xdr:nvCxnSpPr>
        <xdr:cNvPr id="22495" name="직선 화살표 연결선 22494">
          <a:extLst>
            <a:ext uri="{FF2B5EF4-FFF2-40B4-BE49-F238E27FC236}">
              <a16:creationId xmlns:a16="http://schemas.microsoft.com/office/drawing/2014/main" id="{00000000-0008-0000-0300-0000DF570000}"/>
            </a:ext>
          </a:extLst>
        </xdr:cNvPr>
        <xdr:cNvCxnSpPr/>
      </xdr:nvCxnSpPr>
      <xdr:spPr>
        <a:xfrm>
          <a:off x="8594272" y="971550"/>
          <a:ext cx="39120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40822</xdr:colOff>
      <xdr:row>4</xdr:row>
      <xdr:rowOff>19050</xdr:rowOff>
    </xdr:from>
    <xdr:to>
      <xdr:col>50</xdr:col>
      <xdr:colOff>0</xdr:colOff>
      <xdr:row>4</xdr:row>
      <xdr:rowOff>133350</xdr:rowOff>
    </xdr:to>
    <xdr:sp macro="" textlink="">
      <xdr:nvSpPr>
        <xdr:cNvPr id="22496" name="직사각형 22495">
          <a:extLst>
            <a:ext uri="{FF2B5EF4-FFF2-40B4-BE49-F238E27FC236}">
              <a16:creationId xmlns:a16="http://schemas.microsoft.com/office/drawing/2014/main" id="{00000000-0008-0000-0300-0000E0570000}"/>
            </a:ext>
          </a:extLst>
        </xdr:cNvPr>
        <xdr:cNvSpPr/>
      </xdr:nvSpPr>
      <xdr:spPr>
        <a:xfrm>
          <a:off x="8594272" y="762000"/>
          <a:ext cx="31024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40822</xdr:colOff>
      <xdr:row>4</xdr:row>
      <xdr:rowOff>76200</xdr:rowOff>
    </xdr:from>
    <xdr:to>
      <xdr:col>30</xdr:col>
      <xdr:colOff>107621</xdr:colOff>
      <xdr:row>4</xdr:row>
      <xdr:rowOff>76200</xdr:rowOff>
    </xdr:to>
    <xdr:cxnSp macro="">
      <xdr:nvCxnSpPr>
        <xdr:cNvPr id="22497" name="직선 화살표 연결선 22496">
          <a:extLst>
            <a:ext uri="{FF2B5EF4-FFF2-40B4-BE49-F238E27FC236}">
              <a16:creationId xmlns:a16="http://schemas.microsoft.com/office/drawing/2014/main" id="{00000000-0008-0000-0300-0000E1570000}"/>
            </a:ext>
          </a:extLst>
        </xdr:cNvPr>
        <xdr:cNvCxnSpPr/>
      </xdr:nvCxnSpPr>
      <xdr:spPr>
        <a:xfrm>
          <a:off x="8594272" y="819150"/>
          <a:ext cx="3525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173831</xdr:colOff>
      <xdr:row>5</xdr:row>
      <xdr:rowOff>0</xdr:rowOff>
    </xdr:from>
    <xdr:to>
      <xdr:col>12</xdr:col>
      <xdr:colOff>573881</xdr:colOff>
      <xdr:row>18</xdr:row>
      <xdr:rowOff>76200</xdr:rowOff>
    </xdr:to>
    <xdr:graphicFrame macro="">
      <xdr:nvGraphicFramePr>
        <xdr:cNvPr id="2" name="차트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hjung/Desktop/&#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hyperlink" Target="http://xlworks.net/"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115" zoomScaleNormal="115" workbookViewId="0">
      <selection activeCell="B19" sqref="B19"/>
    </sheetView>
  </sheetViews>
  <sheetFormatPr defaultColWidth="10" defaultRowHeight="12.75"/>
  <cols>
    <col min="1" max="1" width="28.25" style="97" bestFit="1" customWidth="1"/>
    <col min="2" max="2" width="23.125" style="96" bestFit="1" customWidth="1"/>
    <col min="3" max="3" width="21.75" style="96" customWidth="1"/>
    <col min="4" max="4" width="27.375" style="96" bestFit="1" customWidth="1"/>
    <col min="5" max="5" width="12.875" style="96" bestFit="1" customWidth="1"/>
    <col min="6" max="6" width="17.75" style="96" bestFit="1" customWidth="1"/>
    <col min="7" max="7" width="21.875" style="97" bestFit="1" customWidth="1"/>
    <col min="8" max="8" width="23.75" style="97" bestFit="1" customWidth="1"/>
    <col min="9" max="9" width="9.75" style="97" bestFit="1" customWidth="1"/>
    <col min="10" max="10" width="25.125" style="97" bestFit="1" customWidth="1"/>
    <col min="11" max="11" width="4.875" style="97" bestFit="1" customWidth="1"/>
    <col min="12" max="12" width="25.125" style="97" bestFit="1" customWidth="1"/>
    <col min="13" max="13" width="4.875" style="97" bestFit="1" customWidth="1"/>
    <col min="14" max="14" width="23" style="97" bestFit="1" customWidth="1"/>
    <col min="15" max="15" width="14.5" style="97" customWidth="1"/>
    <col min="16" max="16" width="28.375" style="97" bestFit="1" customWidth="1"/>
    <col min="17" max="17" width="9.5" style="97" bestFit="1" customWidth="1"/>
    <col min="18" max="18" width="27.75" style="97" bestFit="1" customWidth="1"/>
    <col min="19" max="19" width="4.875" style="97" bestFit="1" customWidth="1"/>
    <col min="20" max="20" width="25" style="97" bestFit="1" customWidth="1"/>
    <col min="21" max="21" width="4.375" style="97" bestFit="1" customWidth="1"/>
    <col min="22" max="22" width="23" style="97" bestFit="1" customWidth="1"/>
    <col min="23" max="23" width="8.125" style="97" bestFit="1" customWidth="1"/>
    <col min="24" max="24" width="22.625" style="97" bestFit="1" customWidth="1"/>
    <col min="25" max="25" width="9.5" style="97" bestFit="1" customWidth="1"/>
    <col min="26" max="26" width="26.25" style="97" bestFit="1" customWidth="1"/>
    <col min="27" max="27" width="7.875" style="97" bestFit="1" customWidth="1"/>
    <col min="28" max="28" width="21.25" style="97" bestFit="1" customWidth="1"/>
    <col min="29" max="29" width="15.625" style="97" bestFit="1" customWidth="1"/>
    <col min="30" max="30" width="23.5" style="97" bestFit="1" customWidth="1"/>
    <col min="31" max="31" width="15.25" style="97" bestFit="1" customWidth="1"/>
    <col min="32" max="32" width="22.625" style="97" bestFit="1" customWidth="1"/>
    <col min="33" max="33" width="60.875" style="97" bestFit="1" customWidth="1"/>
    <col min="34" max="34" width="28.375" style="97" bestFit="1" customWidth="1"/>
    <col min="35" max="35" width="11.5" style="97" bestFit="1" customWidth="1"/>
    <col min="36" max="36" width="25.125" style="97" bestFit="1" customWidth="1"/>
    <col min="37" max="37" width="4" style="97" bestFit="1" customWidth="1"/>
    <col min="38" max="38" width="14.875" style="97" bestFit="1" customWidth="1"/>
    <col min="39" max="39" width="11.625" style="97" bestFit="1" customWidth="1"/>
    <col min="40" max="40" width="22.625" style="97" bestFit="1" customWidth="1"/>
    <col min="41" max="41" width="5.875" style="97" bestFit="1" customWidth="1"/>
    <col min="42" max="42" width="15.875" style="97" bestFit="1" customWidth="1"/>
    <col min="43" max="43" width="6.375" style="97" bestFit="1" customWidth="1"/>
    <col min="44" max="44" width="13.25" style="97" bestFit="1" customWidth="1"/>
    <col min="45" max="45" width="3.25" style="97" bestFit="1" customWidth="1"/>
    <col min="46" max="46" width="14.875" style="97" bestFit="1" customWidth="1"/>
    <col min="47" max="47" width="28.625" style="97" bestFit="1" customWidth="1"/>
    <col min="48" max="48" width="22.625" style="97" bestFit="1" customWidth="1"/>
    <col min="49" max="49" width="5.375" style="97" bestFit="1" customWidth="1"/>
    <col min="50" max="50" width="15.875" style="97" bestFit="1" customWidth="1"/>
    <col min="51" max="51" width="10" style="97"/>
    <col min="52" max="52" width="13.25" style="97" bestFit="1" customWidth="1"/>
    <col min="53" max="53" width="10" style="97"/>
    <col min="54" max="54" width="14.875" style="97" bestFit="1" customWidth="1"/>
    <col min="55" max="55" width="10" style="97"/>
    <col min="56" max="56" width="22.625" style="97" bestFit="1" customWidth="1"/>
    <col min="57" max="57" width="10" style="97"/>
    <col min="58" max="58" width="15.875" style="97" bestFit="1" customWidth="1"/>
    <col min="59" max="59" width="10" style="97"/>
    <col min="60" max="60" width="13.25" style="97" bestFit="1" customWidth="1"/>
    <col min="61" max="61" width="10" style="97"/>
    <col min="62" max="62" width="14.875" style="97" bestFit="1" customWidth="1"/>
    <col min="63" max="63" width="10" style="97"/>
    <col min="64" max="64" width="22.625" style="97" bestFit="1" customWidth="1"/>
    <col min="65" max="65" width="10" style="97"/>
    <col min="66" max="66" width="33.75" style="97" bestFit="1" customWidth="1"/>
    <col min="67" max="16384" width="10" style="97"/>
  </cols>
  <sheetData>
    <row r="1" spans="1:64" s="96" customFormat="1">
      <c r="A1" s="95" t="s">
        <v>0</v>
      </c>
      <c r="B1" s="95" t="s">
        <v>1</v>
      </c>
      <c r="C1" s="95" t="s">
        <v>2</v>
      </c>
      <c r="D1" s="95" t="s">
        <v>3</v>
      </c>
      <c r="E1" s="95" t="s">
        <v>4</v>
      </c>
      <c r="F1" s="95" t="s">
        <v>5</v>
      </c>
    </row>
    <row r="2" spans="1:64">
      <c r="A2" s="97" t="s">
        <v>6</v>
      </c>
      <c r="B2" s="96" t="s">
        <v>7</v>
      </c>
      <c r="E2" s="96" t="s">
        <v>8</v>
      </c>
    </row>
    <row r="3" spans="1:64">
      <c r="A3" s="97" t="s">
        <v>9</v>
      </c>
      <c r="B3" s="96" t="s">
        <v>7</v>
      </c>
      <c r="E3" s="96" t="s">
        <v>8</v>
      </c>
    </row>
    <row r="4" spans="1:64">
      <c r="A4" s="97" t="s">
        <v>10</v>
      </c>
      <c r="B4" s="105" t="s">
        <v>11</v>
      </c>
      <c r="E4" s="96" t="s">
        <v>8</v>
      </c>
    </row>
    <row r="5" spans="1:64">
      <c r="A5" s="97" t="s">
        <v>12</v>
      </c>
      <c r="B5" s="96" t="s">
        <v>13</v>
      </c>
      <c r="E5" s="96" t="s">
        <v>8</v>
      </c>
    </row>
    <row r="6" spans="1:64">
      <c r="A6" s="97" t="s">
        <v>14</v>
      </c>
      <c r="B6" s="105" t="s">
        <v>15</v>
      </c>
      <c r="E6" s="96" t="s">
        <v>8</v>
      </c>
    </row>
    <row r="7" spans="1:64">
      <c r="A7" s="97" t="s">
        <v>16</v>
      </c>
      <c r="B7" s="97" t="s">
        <v>7</v>
      </c>
      <c r="E7" s="96" t="s">
        <v>8</v>
      </c>
    </row>
    <row r="8" spans="1:64">
      <c r="A8" s="97" t="s">
        <v>17</v>
      </c>
      <c r="B8" s="98" t="s">
        <v>18</v>
      </c>
      <c r="C8" s="96" t="s">
        <v>19</v>
      </c>
      <c r="D8" s="96">
        <v>82</v>
      </c>
      <c r="E8" s="96" t="s">
        <v>8</v>
      </c>
    </row>
    <row r="9" spans="1:64">
      <c r="A9" s="97" t="s">
        <v>20</v>
      </c>
      <c r="B9" s="99">
        <v>43387</v>
      </c>
      <c r="E9" s="96" t="s">
        <v>8</v>
      </c>
    </row>
    <row r="10" spans="1:64">
      <c r="A10" s="100" t="s">
        <v>21</v>
      </c>
      <c r="B10" s="101" t="s">
        <v>22</v>
      </c>
      <c r="C10" s="101"/>
      <c r="D10" s="101"/>
      <c r="E10" s="101" t="s">
        <v>8</v>
      </c>
      <c r="F10" s="101"/>
    </row>
    <row r="11" spans="1:64">
      <c r="A11" s="97" t="s">
        <v>23</v>
      </c>
      <c r="B11" s="99" t="s">
        <v>24</v>
      </c>
      <c r="C11" s="96" t="s">
        <v>25</v>
      </c>
      <c r="D11" s="96" t="s">
        <v>26</v>
      </c>
      <c r="E11" s="102">
        <v>1</v>
      </c>
      <c r="F11" s="103" t="s">
        <v>27</v>
      </c>
      <c r="G11" s="104">
        <v>43375</v>
      </c>
      <c r="H11" s="103" t="s">
        <v>28</v>
      </c>
      <c r="I11" s="104">
        <v>43526</v>
      </c>
      <c r="J11" s="97" t="s">
        <v>29</v>
      </c>
      <c r="K11" s="97" t="s">
        <v>30</v>
      </c>
      <c r="L11" s="97" t="s">
        <v>31</v>
      </c>
      <c r="M11" s="97">
        <v>1</v>
      </c>
      <c r="N11" s="99" t="s">
        <v>32</v>
      </c>
      <c r="O11" s="96">
        <v>0</v>
      </c>
      <c r="P11" s="96" t="s">
        <v>33</v>
      </c>
      <c r="Q11" s="99" t="s">
        <v>34</v>
      </c>
      <c r="R11" s="97" t="s">
        <v>35</v>
      </c>
      <c r="S11" s="97">
        <v>1</v>
      </c>
      <c r="T11" s="97" t="s">
        <v>36</v>
      </c>
      <c r="U11" s="97">
        <v>1</v>
      </c>
      <c r="V11" s="97" t="s">
        <v>37</v>
      </c>
      <c r="W11" s="97">
        <v>0</v>
      </c>
      <c r="X11" s="97" t="s">
        <v>38</v>
      </c>
      <c r="Y11" s="97">
        <v>1</v>
      </c>
    </row>
    <row r="12" spans="1:64">
      <c r="A12" s="97" t="s">
        <v>39</v>
      </c>
      <c r="B12" s="97" t="s">
        <v>40</v>
      </c>
      <c r="C12" s="97">
        <v>1</v>
      </c>
      <c r="D12" s="97" t="s">
        <v>41</v>
      </c>
      <c r="E12" s="97">
        <v>1</v>
      </c>
      <c r="F12" s="97" t="s">
        <v>42</v>
      </c>
      <c r="G12" s="97">
        <v>0</v>
      </c>
      <c r="H12" s="97" t="s">
        <v>43</v>
      </c>
      <c r="I12" s="97">
        <v>1</v>
      </c>
      <c r="J12" s="97" t="s">
        <v>44</v>
      </c>
      <c r="K12" s="97">
        <v>0.7</v>
      </c>
      <c r="L12" s="97" t="s">
        <v>45</v>
      </c>
      <c r="M12" s="97">
        <v>2</v>
      </c>
      <c r="N12" s="97" t="s">
        <v>46</v>
      </c>
      <c r="O12" s="97">
        <v>1</v>
      </c>
      <c r="P12" s="97" t="s">
        <v>47</v>
      </c>
      <c r="Q12" s="97">
        <v>1</v>
      </c>
      <c r="R12" s="97" t="s">
        <v>48</v>
      </c>
      <c r="S12" s="97">
        <v>7</v>
      </c>
      <c r="T12" s="97" t="s">
        <v>49</v>
      </c>
      <c r="U12" s="97">
        <v>0</v>
      </c>
      <c r="V12" s="97" t="s">
        <v>50</v>
      </c>
      <c r="W12" s="97">
        <v>100</v>
      </c>
      <c r="X12" s="97" t="s">
        <v>51</v>
      </c>
      <c r="Y12" s="97">
        <v>0</v>
      </c>
      <c r="Z12" s="97" t="s">
        <v>52</v>
      </c>
      <c r="AA12" s="97">
        <v>1</v>
      </c>
      <c r="AB12" s="97" t="s">
        <v>53</v>
      </c>
      <c r="AC12" s="97">
        <v>1</v>
      </c>
      <c r="AD12" s="97" t="s">
        <v>54</v>
      </c>
      <c r="AE12" s="97">
        <v>1</v>
      </c>
    </row>
    <row r="13" spans="1:64">
      <c r="A13" s="96" t="s">
        <v>55</v>
      </c>
      <c r="B13" s="99" t="s">
        <v>56</v>
      </c>
      <c r="C13" s="96">
        <v>1</v>
      </c>
      <c r="D13" s="99" t="s">
        <v>57</v>
      </c>
      <c r="E13" s="96" t="s">
        <v>58</v>
      </c>
      <c r="F13" s="96" t="s">
        <v>59</v>
      </c>
      <c r="G13" s="103" t="s">
        <v>60</v>
      </c>
      <c r="H13" s="103" t="s">
        <v>61</v>
      </c>
      <c r="I13" s="97" t="s">
        <v>60</v>
      </c>
    </row>
    <row r="14" spans="1:64">
      <c r="A14" s="96" t="s">
        <v>62</v>
      </c>
      <c r="B14" s="102" t="s">
        <v>63</v>
      </c>
      <c r="C14" s="102" t="s">
        <v>64</v>
      </c>
      <c r="D14" s="102" t="s">
        <v>65</v>
      </c>
      <c r="E14" s="102" t="s">
        <v>66</v>
      </c>
      <c r="F14" s="102" t="s">
        <v>67</v>
      </c>
      <c r="G14" s="102" t="s">
        <v>68</v>
      </c>
      <c r="H14" s="102" t="s">
        <v>69</v>
      </c>
      <c r="I14" s="102" t="b">
        <v>0</v>
      </c>
      <c r="J14" s="102" t="s">
        <v>70</v>
      </c>
      <c r="K14" s="102" t="s">
        <v>71</v>
      </c>
      <c r="L14" s="102" t="s">
        <v>72</v>
      </c>
      <c r="M14" s="102" t="s">
        <v>73</v>
      </c>
      <c r="N14" s="102" t="s">
        <v>74</v>
      </c>
      <c r="O14" s="102" t="s">
        <v>68</v>
      </c>
      <c r="P14" s="102" t="s">
        <v>75</v>
      </c>
      <c r="Q14" s="102" t="b">
        <v>0</v>
      </c>
      <c r="R14" s="102" t="s">
        <v>76</v>
      </c>
      <c r="S14" s="102" t="s">
        <v>77</v>
      </c>
      <c r="T14" s="102" t="s">
        <v>78</v>
      </c>
      <c r="U14" s="102" t="s">
        <v>79</v>
      </c>
      <c r="V14" s="102" t="s">
        <v>80</v>
      </c>
      <c r="W14" s="102" t="s">
        <v>68</v>
      </c>
      <c r="X14" s="102" t="s">
        <v>81</v>
      </c>
      <c r="Y14" s="102" t="b">
        <v>1</v>
      </c>
      <c r="Z14" s="102" t="s">
        <v>82</v>
      </c>
      <c r="AA14" s="102" t="s">
        <v>83</v>
      </c>
      <c r="AB14" s="102" t="s">
        <v>84</v>
      </c>
      <c r="AC14" s="102" t="s">
        <v>85</v>
      </c>
      <c r="AD14" s="102" t="s">
        <v>86</v>
      </c>
      <c r="AE14" s="102" t="s">
        <v>87</v>
      </c>
      <c r="AF14" s="102" t="s">
        <v>88</v>
      </c>
      <c r="AG14" s="102" t="b">
        <v>1</v>
      </c>
      <c r="AH14" s="102" t="s">
        <v>89</v>
      </c>
      <c r="AI14" s="102" t="s">
        <v>90</v>
      </c>
      <c r="AJ14" s="102" t="s">
        <v>91</v>
      </c>
      <c r="AK14" s="102" t="s">
        <v>92</v>
      </c>
      <c r="AL14" s="102" t="s">
        <v>93</v>
      </c>
      <c r="AM14" s="102" t="s">
        <v>94</v>
      </c>
      <c r="AN14" s="102" t="s">
        <v>95</v>
      </c>
      <c r="AO14" s="102" t="b">
        <v>0</v>
      </c>
      <c r="AP14" s="102" t="s">
        <v>96</v>
      </c>
      <c r="AQ14" s="102" t="s">
        <v>97</v>
      </c>
      <c r="AR14" s="102" t="s">
        <v>98</v>
      </c>
      <c r="AS14" s="102" t="s">
        <v>99</v>
      </c>
      <c r="AT14" s="102" t="s">
        <v>100</v>
      </c>
      <c r="AU14" s="102" t="s">
        <v>101</v>
      </c>
      <c r="AV14" s="102" t="s">
        <v>102</v>
      </c>
      <c r="AW14" s="102" t="b">
        <v>1</v>
      </c>
      <c r="AX14" s="97" t="s">
        <v>103</v>
      </c>
      <c r="AZ14" s="97" t="s">
        <v>104</v>
      </c>
      <c r="BB14" s="97" t="s">
        <v>105</v>
      </c>
      <c r="BD14" s="97" t="s">
        <v>106</v>
      </c>
      <c r="BF14" s="97" t="s">
        <v>107</v>
      </c>
      <c r="BH14" s="97" t="s">
        <v>108</v>
      </c>
      <c r="BJ14" s="97" t="s">
        <v>109</v>
      </c>
      <c r="BL14" s="97" t="s">
        <v>110</v>
      </c>
    </row>
    <row r="15" spans="1:64">
      <c r="A15" s="96" t="s">
        <v>111</v>
      </c>
      <c r="B15" s="97" t="s">
        <v>112</v>
      </c>
      <c r="C15" s="97">
        <v>0</v>
      </c>
      <c r="D15" s="97" t="s">
        <v>113</v>
      </c>
      <c r="E15" s="97">
        <v>1</v>
      </c>
      <c r="F15" s="97" t="s">
        <v>114</v>
      </c>
      <c r="G15" s="97" t="s">
        <v>115</v>
      </c>
      <c r="H15" s="97" t="s">
        <v>116</v>
      </c>
      <c r="I15" s="97">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F435"/>
  <sheetViews>
    <sheetView zoomScaleNormal="100" workbookViewId="0">
      <pane ySplit="1" topLeftCell="A103" activePane="bottomLeft" state="frozen"/>
      <selection pane="bottomLeft" activeCell="D116" sqref="D116"/>
    </sheetView>
  </sheetViews>
  <sheetFormatPr defaultColWidth="73.375" defaultRowHeight="12"/>
  <cols>
    <col min="1" max="1" width="7.625" style="119" bestFit="1" customWidth="1"/>
    <col min="2" max="2" width="8.375" style="131" bestFit="1" customWidth="1"/>
    <col min="3" max="3" width="15.75" style="128" customWidth="1"/>
    <col min="4" max="4" width="60.625" style="120" customWidth="1"/>
    <col min="5" max="5" width="60.625" style="132" customWidth="1"/>
    <col min="6" max="16384" width="73.375" style="119"/>
  </cols>
  <sheetData>
    <row r="1" spans="1:5" s="117" customFormat="1" ht="24.75" customHeight="1">
      <c r="A1" s="117" t="s">
        <v>117</v>
      </c>
      <c r="B1" s="117" t="s">
        <v>118</v>
      </c>
      <c r="C1" s="118" t="s">
        <v>119</v>
      </c>
      <c r="D1" s="118" t="s">
        <v>120</v>
      </c>
      <c r="E1" s="118" t="s">
        <v>121</v>
      </c>
    </row>
    <row r="2" spans="1:5" ht="60">
      <c r="A2" s="119" t="s">
        <v>122</v>
      </c>
      <c r="B2" s="131">
        <v>1</v>
      </c>
      <c r="D2" s="120" t="s">
        <v>123</v>
      </c>
      <c r="E2" s="132" t="s">
        <v>124</v>
      </c>
    </row>
    <row r="3" spans="1:5" ht="112.5" customHeight="1">
      <c r="A3" s="121">
        <v>450</v>
      </c>
      <c r="B3" s="131">
        <v>2</v>
      </c>
      <c r="D3" s="120" t="s">
        <v>125</v>
      </c>
      <c r="E3" s="132" t="s">
        <v>126</v>
      </c>
    </row>
    <row r="4" spans="1:5" ht="48">
      <c r="B4" s="131">
        <v>3</v>
      </c>
      <c r="D4" s="120" t="s">
        <v>127</v>
      </c>
      <c r="E4" s="132" t="s">
        <v>128</v>
      </c>
    </row>
    <row r="5" spans="1:5" ht="48">
      <c r="B5" s="131">
        <v>4</v>
      </c>
      <c r="D5" s="120" t="s">
        <v>129</v>
      </c>
      <c r="E5" s="132" t="s">
        <v>130</v>
      </c>
    </row>
    <row r="6" spans="1:5" ht="60">
      <c r="B6" s="131">
        <v>5</v>
      </c>
      <c r="D6" s="120" t="s">
        <v>131</v>
      </c>
      <c r="E6" s="132" t="s">
        <v>132</v>
      </c>
    </row>
    <row r="7" spans="1:5" ht="36">
      <c r="B7" s="131">
        <v>6</v>
      </c>
      <c r="D7" s="120" t="s">
        <v>133</v>
      </c>
      <c r="E7" s="132" t="s">
        <v>134</v>
      </c>
    </row>
    <row r="8" spans="1:5">
      <c r="B8" s="131">
        <v>7</v>
      </c>
      <c r="D8" s="120" t="s">
        <v>135</v>
      </c>
      <c r="E8" s="132" t="s">
        <v>136</v>
      </c>
    </row>
    <row r="9" spans="1:5">
      <c r="B9" s="131">
        <v>101</v>
      </c>
      <c r="D9" s="120" t="s">
        <v>137</v>
      </c>
      <c r="E9" s="132" t="s">
        <v>138</v>
      </c>
    </row>
    <row r="10" spans="1:5">
      <c r="B10" s="131">
        <v>102</v>
      </c>
      <c r="D10" s="120" t="s">
        <v>139</v>
      </c>
      <c r="E10" s="132" t="s">
        <v>140</v>
      </c>
    </row>
    <row r="11" spans="1:5">
      <c r="B11" s="131">
        <v>103</v>
      </c>
      <c r="D11" s="120" t="s">
        <v>141</v>
      </c>
      <c r="E11" s="132" t="s">
        <v>142</v>
      </c>
    </row>
    <row r="12" spans="1:5">
      <c r="B12" s="131">
        <v>104</v>
      </c>
      <c r="D12" s="120" t="s">
        <v>143</v>
      </c>
      <c r="E12" s="132" t="s">
        <v>144</v>
      </c>
    </row>
    <row r="13" spans="1:5">
      <c r="B13" s="131">
        <v>105</v>
      </c>
      <c r="D13" s="120" t="s">
        <v>145</v>
      </c>
      <c r="E13" s="132" t="s">
        <v>146</v>
      </c>
    </row>
    <row r="14" spans="1:5">
      <c r="B14" s="131">
        <v>106</v>
      </c>
      <c r="D14" s="120" t="s">
        <v>147</v>
      </c>
      <c r="E14" s="132" t="s">
        <v>148</v>
      </c>
    </row>
    <row r="15" spans="1:5" ht="36">
      <c r="B15" s="131">
        <v>107</v>
      </c>
      <c r="D15" s="120" t="s">
        <v>149</v>
      </c>
      <c r="E15" s="132" t="s">
        <v>150</v>
      </c>
    </row>
    <row r="16" spans="1:5" ht="36">
      <c r="B16" s="131">
        <v>108</v>
      </c>
      <c r="D16" s="120" t="s">
        <v>151</v>
      </c>
      <c r="E16" s="132" t="s">
        <v>152</v>
      </c>
    </row>
    <row r="17" spans="1:6">
      <c r="B17" s="131">
        <v>109</v>
      </c>
      <c r="D17" s="120" t="s">
        <v>153</v>
      </c>
      <c r="E17" s="132" t="s">
        <v>154</v>
      </c>
    </row>
    <row r="18" spans="1:6">
      <c r="B18" s="131">
        <v>110</v>
      </c>
      <c r="D18" s="120" t="s">
        <v>155</v>
      </c>
      <c r="E18" s="132" t="s">
        <v>156</v>
      </c>
    </row>
    <row r="19" spans="1:6">
      <c r="B19" s="131">
        <v>111</v>
      </c>
      <c r="D19" s="120" t="s">
        <v>157</v>
      </c>
      <c r="E19" s="132" t="s">
        <v>158</v>
      </c>
    </row>
    <row r="20" spans="1:6">
      <c r="A20" s="122"/>
      <c r="B20" s="131">
        <v>112</v>
      </c>
      <c r="C20" s="130" t="s">
        <v>159</v>
      </c>
      <c r="D20" s="121" t="s">
        <v>160</v>
      </c>
      <c r="E20" s="121" t="s">
        <v>161</v>
      </c>
      <c r="F20" s="123"/>
    </row>
    <row r="21" spans="1:6">
      <c r="B21" s="131">
        <v>113</v>
      </c>
      <c r="D21" s="120" t="s">
        <v>162</v>
      </c>
      <c r="E21" s="132" t="s">
        <v>163</v>
      </c>
    </row>
    <row r="22" spans="1:6">
      <c r="B22" s="131">
        <v>114</v>
      </c>
      <c r="D22" s="120" t="s">
        <v>164</v>
      </c>
      <c r="E22" s="132" t="s">
        <v>165</v>
      </c>
    </row>
    <row r="23" spans="1:6">
      <c r="B23" s="131">
        <v>115</v>
      </c>
      <c r="D23" s="120" t="s">
        <v>166</v>
      </c>
      <c r="E23" s="132" t="s">
        <v>167</v>
      </c>
    </row>
    <row r="24" spans="1:6" ht="24">
      <c r="B24" s="131">
        <v>116</v>
      </c>
      <c r="D24" s="120" t="s">
        <v>168</v>
      </c>
      <c r="E24" s="132" t="s">
        <v>169</v>
      </c>
    </row>
    <row r="25" spans="1:6">
      <c r="B25" s="131">
        <v>117</v>
      </c>
      <c r="D25" s="120" t="s">
        <v>170</v>
      </c>
      <c r="E25" s="132" t="s">
        <v>171</v>
      </c>
    </row>
    <row r="26" spans="1:6" ht="24">
      <c r="B26" s="131">
        <v>118</v>
      </c>
      <c r="D26" s="120" t="s">
        <v>172</v>
      </c>
      <c r="E26" s="132" t="s">
        <v>173</v>
      </c>
    </row>
    <row r="27" spans="1:6">
      <c r="B27" s="131">
        <v>119</v>
      </c>
      <c r="D27" s="120" t="s">
        <v>174</v>
      </c>
      <c r="E27" s="132" t="s">
        <v>175</v>
      </c>
    </row>
    <row r="28" spans="1:6">
      <c r="B28" s="131">
        <v>120</v>
      </c>
      <c r="D28" s="120" t="s">
        <v>176</v>
      </c>
      <c r="E28" s="132" t="s">
        <v>177</v>
      </c>
    </row>
    <row r="29" spans="1:6">
      <c r="B29" s="131">
        <v>121</v>
      </c>
      <c r="D29" s="120" t="s">
        <v>178</v>
      </c>
      <c r="E29" s="132" t="s">
        <v>179</v>
      </c>
    </row>
    <row r="30" spans="1:6">
      <c r="B30" s="131">
        <v>122</v>
      </c>
      <c r="D30" s="120" t="s">
        <v>180</v>
      </c>
      <c r="E30" s="132" t="s">
        <v>181</v>
      </c>
    </row>
    <row r="31" spans="1:6">
      <c r="B31" s="131">
        <v>123</v>
      </c>
      <c r="D31" s="120" t="s">
        <v>182</v>
      </c>
      <c r="E31" s="132" t="s">
        <v>183</v>
      </c>
    </row>
    <row r="32" spans="1:6">
      <c r="B32" s="131">
        <v>124</v>
      </c>
      <c r="D32" s="120" t="s">
        <v>184</v>
      </c>
      <c r="E32" s="132" t="s">
        <v>185</v>
      </c>
    </row>
    <row r="33" spans="2:5" ht="24">
      <c r="B33" s="131">
        <v>125</v>
      </c>
      <c r="D33" s="120" t="s">
        <v>186</v>
      </c>
      <c r="E33" s="132" t="s">
        <v>187</v>
      </c>
    </row>
    <row r="34" spans="2:5">
      <c r="B34" s="131">
        <v>126</v>
      </c>
      <c r="D34" s="120" t="s">
        <v>188</v>
      </c>
      <c r="E34" s="132" t="s">
        <v>189</v>
      </c>
    </row>
    <row r="35" spans="2:5">
      <c r="B35" s="131">
        <v>127</v>
      </c>
      <c r="D35" s="120" t="s">
        <v>190</v>
      </c>
      <c r="E35" s="132" t="s">
        <v>191</v>
      </c>
    </row>
    <row r="36" spans="2:5">
      <c r="B36" s="131">
        <v>128</v>
      </c>
      <c r="D36" s="120" t="s">
        <v>192</v>
      </c>
      <c r="E36" s="132" t="s">
        <v>193</v>
      </c>
    </row>
    <row r="37" spans="2:5">
      <c r="B37" s="131">
        <v>129</v>
      </c>
      <c r="D37" s="120" t="s">
        <v>194</v>
      </c>
      <c r="E37" s="132" t="s">
        <v>195</v>
      </c>
    </row>
    <row r="38" spans="2:5">
      <c r="B38" s="131">
        <v>130</v>
      </c>
      <c r="D38" s="120" t="s">
        <v>196</v>
      </c>
      <c r="E38" s="132" t="s">
        <v>197</v>
      </c>
    </row>
    <row r="39" spans="2:5">
      <c r="B39" s="131">
        <v>131</v>
      </c>
      <c r="D39" s="120" t="s">
        <v>198</v>
      </c>
      <c r="E39" s="132" t="s">
        <v>199</v>
      </c>
    </row>
    <row r="40" spans="2:5">
      <c r="B40" s="131">
        <v>132</v>
      </c>
      <c r="D40" s="121" t="s">
        <v>200</v>
      </c>
      <c r="E40" s="125">
        <v>43435</v>
      </c>
    </row>
    <row r="41" spans="2:5">
      <c r="B41" s="131">
        <v>133</v>
      </c>
      <c r="D41" s="121" t="s">
        <v>200</v>
      </c>
      <c r="E41" s="125">
        <v>43435</v>
      </c>
    </row>
    <row r="42" spans="2:5">
      <c r="B42" s="131">
        <v>134</v>
      </c>
      <c r="D42" s="121" t="s">
        <v>201</v>
      </c>
      <c r="E42" s="125">
        <v>43465</v>
      </c>
    </row>
    <row r="43" spans="2:5">
      <c r="B43" s="131">
        <v>135</v>
      </c>
      <c r="D43" s="121" t="s">
        <v>201</v>
      </c>
      <c r="E43" s="125">
        <v>43465</v>
      </c>
    </row>
    <row r="44" spans="2:5">
      <c r="B44" s="131">
        <v>136</v>
      </c>
      <c r="D44" s="120" t="s">
        <v>202</v>
      </c>
      <c r="E44" s="132" t="s">
        <v>202</v>
      </c>
    </row>
    <row r="45" spans="2:5">
      <c r="B45" s="131">
        <v>137</v>
      </c>
      <c r="D45" s="120" t="s">
        <v>203</v>
      </c>
      <c r="E45" s="132" t="s">
        <v>204</v>
      </c>
    </row>
    <row r="46" spans="2:5">
      <c r="B46" s="131">
        <v>138</v>
      </c>
      <c r="C46" s="128" t="s">
        <v>205</v>
      </c>
      <c r="D46" s="120" t="s">
        <v>206</v>
      </c>
      <c r="E46" s="158" t="s">
        <v>207</v>
      </c>
    </row>
    <row r="47" spans="2:5">
      <c r="B47" s="131">
        <v>139</v>
      </c>
      <c r="D47" s="120" t="s">
        <v>208</v>
      </c>
      <c r="E47" s="132" t="s">
        <v>209</v>
      </c>
    </row>
    <row r="48" spans="2:5">
      <c r="B48" s="131">
        <v>140</v>
      </c>
      <c r="D48" s="120" t="s">
        <v>210</v>
      </c>
      <c r="E48" s="132" t="s">
        <v>211</v>
      </c>
    </row>
    <row r="49" spans="1:6">
      <c r="B49" s="131">
        <v>141</v>
      </c>
      <c r="D49" s="120" t="s">
        <v>212</v>
      </c>
      <c r="E49" s="132" t="s">
        <v>213</v>
      </c>
    </row>
    <row r="50" spans="1:6">
      <c r="B50" s="131">
        <v>142</v>
      </c>
      <c r="D50" s="120" t="s">
        <v>214</v>
      </c>
      <c r="E50" s="132" t="s">
        <v>215</v>
      </c>
    </row>
    <row r="51" spans="1:6">
      <c r="B51" s="131">
        <v>143</v>
      </c>
      <c r="D51" s="120" t="s">
        <v>216</v>
      </c>
      <c r="E51" s="132" t="s">
        <v>217</v>
      </c>
    </row>
    <row r="52" spans="1:6">
      <c r="B52" s="131">
        <v>144</v>
      </c>
      <c r="D52" s="120" t="s">
        <v>218</v>
      </c>
      <c r="E52" s="132" t="s">
        <v>219</v>
      </c>
    </row>
    <row r="53" spans="1:6" ht="24">
      <c r="B53" s="131">
        <v>145</v>
      </c>
      <c r="D53" s="120" t="s">
        <v>220</v>
      </c>
      <c r="E53" s="132" t="s">
        <v>221</v>
      </c>
    </row>
    <row r="54" spans="1:6">
      <c r="B54" s="131">
        <v>146</v>
      </c>
      <c r="D54" s="120" t="s">
        <v>222</v>
      </c>
      <c r="E54" s="132" t="s">
        <v>223</v>
      </c>
    </row>
    <row r="55" spans="1:6">
      <c r="B55" s="131">
        <v>147</v>
      </c>
      <c r="D55" s="120" t="s">
        <v>224</v>
      </c>
      <c r="E55" s="132" t="s">
        <v>225</v>
      </c>
    </row>
    <row r="56" spans="1:6">
      <c r="B56" s="131">
        <v>148</v>
      </c>
      <c r="D56" s="120" t="s">
        <v>226</v>
      </c>
      <c r="E56" s="132" t="s">
        <v>227</v>
      </c>
    </row>
    <row r="57" spans="1:6">
      <c r="B57" s="131">
        <v>149</v>
      </c>
      <c r="D57" s="120" t="s">
        <v>228</v>
      </c>
      <c r="E57" s="132" t="s">
        <v>229</v>
      </c>
    </row>
    <row r="58" spans="1:6">
      <c r="B58" s="131">
        <v>150</v>
      </c>
      <c r="D58" s="120" t="s">
        <v>230</v>
      </c>
      <c r="E58" s="132" t="s">
        <v>231</v>
      </c>
    </row>
    <row r="59" spans="1:6" ht="24">
      <c r="B59" s="131">
        <v>151</v>
      </c>
      <c r="D59" s="120" t="s">
        <v>232</v>
      </c>
      <c r="E59" s="132" t="s">
        <v>233</v>
      </c>
    </row>
    <row r="60" spans="1:6">
      <c r="B60" s="131">
        <v>152</v>
      </c>
      <c r="D60" s="120" t="s">
        <v>234</v>
      </c>
      <c r="E60" s="132" t="s">
        <v>235</v>
      </c>
    </row>
    <row r="61" spans="1:6">
      <c r="A61" s="124"/>
      <c r="B61" s="131">
        <v>153</v>
      </c>
      <c r="C61" s="130" t="s">
        <v>159</v>
      </c>
      <c r="D61" s="121" t="s">
        <v>236</v>
      </c>
      <c r="E61" s="121" t="s">
        <v>237</v>
      </c>
      <c r="F61" s="123"/>
    </row>
    <row r="62" spans="1:6" ht="12.75">
      <c r="B62" s="131">
        <v>154</v>
      </c>
      <c r="D62" s="120" t="s">
        <v>238</v>
      </c>
      <c r="E62" s="160" t="s">
        <v>239</v>
      </c>
    </row>
    <row r="63" spans="1:6" ht="12.75">
      <c r="B63" s="131">
        <v>155</v>
      </c>
      <c r="D63" s="120" t="s">
        <v>240</v>
      </c>
      <c r="E63" s="160" t="s">
        <v>241</v>
      </c>
    </row>
    <row r="64" spans="1:6">
      <c r="A64" s="124"/>
      <c r="B64" s="131">
        <v>156</v>
      </c>
      <c r="C64" s="130" t="s">
        <v>159</v>
      </c>
      <c r="D64" s="121" t="s">
        <v>242</v>
      </c>
      <c r="E64" s="121" t="s">
        <v>243</v>
      </c>
      <c r="F64" s="123"/>
    </row>
    <row r="65" spans="1:6">
      <c r="A65" s="124"/>
      <c r="B65" s="131">
        <v>157</v>
      </c>
      <c r="C65" s="130" t="s">
        <v>159</v>
      </c>
      <c r="D65" s="121" t="s">
        <v>244</v>
      </c>
      <c r="E65" s="121" t="s">
        <v>245</v>
      </c>
      <c r="F65" s="123"/>
    </row>
    <row r="66" spans="1:6">
      <c r="A66" s="124"/>
      <c r="B66" s="131">
        <v>158</v>
      </c>
      <c r="C66" s="130" t="s">
        <v>159</v>
      </c>
      <c r="D66" s="121" t="s">
        <v>246</v>
      </c>
      <c r="E66" s="121" t="s">
        <v>247</v>
      </c>
      <c r="F66" s="123"/>
    </row>
    <row r="67" spans="1:6">
      <c r="A67" s="124"/>
      <c r="B67" s="131">
        <v>159</v>
      </c>
      <c r="C67" s="130" t="s">
        <v>159</v>
      </c>
      <c r="D67" s="121" t="s">
        <v>248</v>
      </c>
      <c r="E67" s="121" t="s">
        <v>249</v>
      </c>
      <c r="F67" s="123"/>
    </row>
    <row r="68" spans="1:6">
      <c r="B68" s="131">
        <v>160</v>
      </c>
      <c r="D68" s="120" t="s">
        <v>250</v>
      </c>
      <c r="E68" s="132" t="s">
        <v>251</v>
      </c>
    </row>
    <row r="69" spans="1:6">
      <c r="B69" s="131">
        <v>161</v>
      </c>
      <c r="D69" s="120" t="s">
        <v>252</v>
      </c>
      <c r="E69" s="132" t="s">
        <v>253</v>
      </c>
    </row>
    <row r="70" spans="1:6">
      <c r="B70" s="131">
        <v>162</v>
      </c>
      <c r="D70" s="120" t="s">
        <v>254</v>
      </c>
      <c r="E70" s="132" t="s">
        <v>255</v>
      </c>
    </row>
    <row r="71" spans="1:6">
      <c r="B71" s="131">
        <v>163</v>
      </c>
      <c r="D71" s="120" t="s">
        <v>256</v>
      </c>
      <c r="E71" s="132" t="s">
        <v>257</v>
      </c>
    </row>
    <row r="72" spans="1:6">
      <c r="B72" s="131">
        <v>164</v>
      </c>
      <c r="D72" s="120" t="s">
        <v>258</v>
      </c>
      <c r="E72" s="132" t="s">
        <v>259</v>
      </c>
    </row>
    <row r="73" spans="1:6">
      <c r="B73" s="131">
        <v>165</v>
      </c>
      <c r="D73" s="120" t="s">
        <v>260</v>
      </c>
      <c r="E73" s="132" t="s">
        <v>261</v>
      </c>
    </row>
    <row r="74" spans="1:6">
      <c r="B74" s="131">
        <v>166</v>
      </c>
      <c r="D74" s="120" t="s">
        <v>262</v>
      </c>
      <c r="E74" s="132" t="s">
        <v>263</v>
      </c>
    </row>
    <row r="75" spans="1:6" ht="24">
      <c r="B75" s="131">
        <v>167</v>
      </c>
      <c r="D75" s="120" t="s">
        <v>264</v>
      </c>
      <c r="E75" s="132" t="s">
        <v>265</v>
      </c>
    </row>
    <row r="76" spans="1:6">
      <c r="B76" s="131">
        <v>168</v>
      </c>
      <c r="D76" s="120" t="s">
        <v>266</v>
      </c>
      <c r="E76" s="132" t="s">
        <v>267</v>
      </c>
    </row>
    <row r="77" spans="1:6">
      <c r="B77" s="131">
        <v>169</v>
      </c>
      <c r="D77" s="120" t="s">
        <v>268</v>
      </c>
      <c r="E77" s="132" t="s">
        <v>269</v>
      </c>
    </row>
    <row r="78" spans="1:6">
      <c r="B78" s="131">
        <v>170</v>
      </c>
      <c r="D78" s="120" t="s">
        <v>270</v>
      </c>
      <c r="E78" s="132" t="s">
        <v>271</v>
      </c>
    </row>
    <row r="79" spans="1:6">
      <c r="B79" s="131">
        <v>171</v>
      </c>
      <c r="D79" s="120" t="s">
        <v>272</v>
      </c>
      <c r="E79" s="132" t="s">
        <v>273</v>
      </c>
    </row>
    <row r="80" spans="1:6">
      <c r="B80" s="131">
        <v>172</v>
      </c>
      <c r="D80" s="120" t="s">
        <v>274</v>
      </c>
      <c r="E80" s="132" t="s">
        <v>275</v>
      </c>
    </row>
    <row r="81" spans="2:5">
      <c r="B81" s="131">
        <v>173</v>
      </c>
      <c r="D81" s="120" t="s">
        <v>276</v>
      </c>
      <c r="E81" s="132" t="s">
        <v>277</v>
      </c>
    </row>
    <row r="82" spans="2:5">
      <c r="B82" s="131">
        <v>174</v>
      </c>
      <c r="D82" s="120" t="s">
        <v>278</v>
      </c>
      <c r="E82" s="132" t="s">
        <v>279</v>
      </c>
    </row>
    <row r="83" spans="2:5">
      <c r="B83" s="131">
        <v>175</v>
      </c>
      <c r="D83" s="120" t="s">
        <v>280</v>
      </c>
      <c r="E83" s="132" t="s">
        <v>281</v>
      </c>
    </row>
    <row r="84" spans="2:5">
      <c r="B84" s="131">
        <v>176</v>
      </c>
      <c r="D84" s="120" t="s">
        <v>282</v>
      </c>
      <c r="E84" s="132" t="s">
        <v>283</v>
      </c>
    </row>
    <row r="85" spans="2:5">
      <c r="B85" s="131">
        <v>177</v>
      </c>
      <c r="D85" s="120" t="s">
        <v>284</v>
      </c>
      <c r="E85" s="132" t="s">
        <v>285</v>
      </c>
    </row>
    <row r="86" spans="2:5">
      <c r="B86" s="131">
        <v>178</v>
      </c>
      <c r="D86" s="120" t="s">
        <v>286</v>
      </c>
      <c r="E86" s="132" t="s">
        <v>287</v>
      </c>
    </row>
    <row r="87" spans="2:5">
      <c r="B87" s="131">
        <v>179</v>
      </c>
      <c r="D87" s="120" t="s">
        <v>288</v>
      </c>
      <c r="E87" s="132" t="s">
        <v>289</v>
      </c>
    </row>
    <row r="88" spans="2:5">
      <c r="B88" s="131">
        <v>180</v>
      </c>
      <c r="D88" s="120" t="s">
        <v>290</v>
      </c>
      <c r="E88" s="132" t="s">
        <v>291</v>
      </c>
    </row>
    <row r="89" spans="2:5" ht="24">
      <c r="B89" s="131">
        <v>181</v>
      </c>
      <c r="D89" s="120" t="s">
        <v>292</v>
      </c>
      <c r="E89" s="132" t="s">
        <v>293</v>
      </c>
    </row>
    <row r="90" spans="2:5" ht="24">
      <c r="B90" s="131">
        <v>182</v>
      </c>
      <c r="D90" s="120" t="s">
        <v>294</v>
      </c>
      <c r="E90" s="132" t="s">
        <v>295</v>
      </c>
    </row>
    <row r="91" spans="2:5">
      <c r="B91" s="131">
        <v>183</v>
      </c>
      <c r="D91" s="120" t="s">
        <v>296</v>
      </c>
      <c r="E91" s="132" t="s">
        <v>297</v>
      </c>
    </row>
    <row r="92" spans="2:5">
      <c r="B92" s="131">
        <v>184</v>
      </c>
      <c r="D92" s="120" t="s">
        <v>298</v>
      </c>
      <c r="E92" s="132" t="s">
        <v>299</v>
      </c>
    </row>
    <row r="93" spans="2:5">
      <c r="B93" s="131">
        <v>185</v>
      </c>
      <c r="D93" s="120" t="s">
        <v>300</v>
      </c>
      <c r="E93" s="132" t="s">
        <v>301</v>
      </c>
    </row>
    <row r="94" spans="2:5">
      <c r="B94" s="131">
        <v>186</v>
      </c>
      <c r="D94" s="120" t="s">
        <v>302</v>
      </c>
      <c r="E94" s="132" t="s">
        <v>303</v>
      </c>
    </row>
    <row r="95" spans="2:5">
      <c r="B95" s="131">
        <v>187</v>
      </c>
      <c r="D95" s="120" t="s">
        <v>304</v>
      </c>
      <c r="E95" s="132" t="s">
        <v>305</v>
      </c>
    </row>
    <row r="96" spans="2:5" ht="24">
      <c r="B96" s="131">
        <v>188</v>
      </c>
      <c r="D96" s="120" t="s">
        <v>306</v>
      </c>
      <c r="E96" s="132" t="s">
        <v>307</v>
      </c>
    </row>
    <row r="97" spans="2:5" ht="24">
      <c r="B97" s="131">
        <v>189</v>
      </c>
      <c r="D97" s="120" t="s">
        <v>308</v>
      </c>
      <c r="E97" s="132" t="s">
        <v>309</v>
      </c>
    </row>
    <row r="98" spans="2:5">
      <c r="B98" s="131">
        <v>190</v>
      </c>
      <c r="D98" s="120" t="s">
        <v>310</v>
      </c>
      <c r="E98" s="132" t="s">
        <v>310</v>
      </c>
    </row>
    <row r="99" spans="2:5">
      <c r="B99" s="131">
        <v>191</v>
      </c>
      <c r="D99" s="120" t="s">
        <v>311</v>
      </c>
      <c r="E99" s="132" t="s">
        <v>312</v>
      </c>
    </row>
    <row r="100" spans="2:5">
      <c r="B100" s="131">
        <v>192</v>
      </c>
      <c r="D100" s="120" t="s">
        <v>313</v>
      </c>
      <c r="E100" s="132" t="s">
        <v>314</v>
      </c>
    </row>
    <row r="101" spans="2:5">
      <c r="B101" s="131">
        <v>193</v>
      </c>
      <c r="D101" s="120" t="s">
        <v>315</v>
      </c>
      <c r="E101" s="132" t="s">
        <v>316</v>
      </c>
    </row>
    <row r="102" spans="2:5">
      <c r="B102" s="131">
        <v>194</v>
      </c>
      <c r="D102" s="120" t="s">
        <v>317</v>
      </c>
      <c r="E102" s="132" t="s">
        <v>318</v>
      </c>
    </row>
    <row r="103" spans="2:5">
      <c r="B103" s="131">
        <v>195</v>
      </c>
      <c r="D103" s="120" t="s">
        <v>319</v>
      </c>
      <c r="E103" s="132" t="s">
        <v>320</v>
      </c>
    </row>
    <row r="104" spans="2:5">
      <c r="B104" s="131">
        <v>196</v>
      </c>
      <c r="D104" s="120" t="s">
        <v>321</v>
      </c>
      <c r="E104" s="132" t="s">
        <v>322</v>
      </c>
    </row>
    <row r="105" spans="2:5">
      <c r="B105" s="131">
        <v>197</v>
      </c>
      <c r="D105" s="120" t="s">
        <v>323</v>
      </c>
      <c r="E105" s="132" t="s">
        <v>324</v>
      </c>
    </row>
    <row r="106" spans="2:5">
      <c r="B106" s="131">
        <v>198</v>
      </c>
      <c r="D106" s="120" t="s">
        <v>325</v>
      </c>
      <c r="E106" s="132" t="s">
        <v>326</v>
      </c>
    </row>
    <row r="107" spans="2:5">
      <c r="B107" s="131">
        <v>199</v>
      </c>
      <c r="D107" s="120" t="s">
        <v>327</v>
      </c>
      <c r="E107" s="132" t="s">
        <v>328</v>
      </c>
    </row>
    <row r="108" spans="2:5">
      <c r="B108" s="131">
        <v>200</v>
      </c>
      <c r="D108" s="120" t="s">
        <v>329</v>
      </c>
      <c r="E108" s="132" t="s">
        <v>330</v>
      </c>
    </row>
    <row r="109" spans="2:5">
      <c r="B109" s="131">
        <v>201</v>
      </c>
      <c r="D109" s="120" t="s">
        <v>331</v>
      </c>
      <c r="E109" s="132" t="s">
        <v>332</v>
      </c>
    </row>
    <row r="110" spans="2:5">
      <c r="B110" s="131">
        <v>202</v>
      </c>
      <c r="D110" s="120" t="s">
        <v>333</v>
      </c>
      <c r="E110" s="132" t="s">
        <v>334</v>
      </c>
    </row>
    <row r="111" spans="2:5">
      <c r="B111" s="131">
        <v>203</v>
      </c>
      <c r="D111" s="120" t="s">
        <v>335</v>
      </c>
      <c r="E111" s="132" t="s">
        <v>336</v>
      </c>
    </row>
    <row r="112" spans="2:5">
      <c r="B112" s="131">
        <v>204</v>
      </c>
      <c r="D112" s="120" t="s">
        <v>337</v>
      </c>
      <c r="E112" s="132" t="s">
        <v>338</v>
      </c>
    </row>
    <row r="113" spans="2:5">
      <c r="B113" s="131">
        <v>205</v>
      </c>
      <c r="D113" s="120" t="s">
        <v>339</v>
      </c>
      <c r="E113" s="132" t="s">
        <v>340</v>
      </c>
    </row>
    <row r="114" spans="2:5">
      <c r="B114" s="131">
        <v>206</v>
      </c>
      <c r="D114" s="120" t="s">
        <v>341</v>
      </c>
      <c r="E114" s="132" t="s">
        <v>342</v>
      </c>
    </row>
    <row r="115" spans="2:5">
      <c r="B115" s="131">
        <v>207</v>
      </c>
      <c r="D115" s="120" t="s">
        <v>343</v>
      </c>
      <c r="E115" s="132" t="s">
        <v>344</v>
      </c>
    </row>
    <row r="116" spans="2:5">
      <c r="B116" s="131">
        <v>208</v>
      </c>
      <c r="D116" s="120" t="s">
        <v>345</v>
      </c>
      <c r="E116" s="132" t="s">
        <v>346</v>
      </c>
    </row>
    <row r="117" spans="2:5">
      <c r="B117" s="131">
        <v>209</v>
      </c>
      <c r="D117" s="120" t="s">
        <v>347</v>
      </c>
      <c r="E117" s="132" t="s">
        <v>348</v>
      </c>
    </row>
    <row r="118" spans="2:5">
      <c r="B118" s="131">
        <v>210</v>
      </c>
      <c r="D118" s="120" t="s">
        <v>349</v>
      </c>
      <c r="E118" s="132" t="s">
        <v>350</v>
      </c>
    </row>
    <row r="119" spans="2:5">
      <c r="B119" s="131">
        <v>211</v>
      </c>
      <c r="D119" s="120" t="s">
        <v>351</v>
      </c>
      <c r="E119" s="132" t="s">
        <v>352</v>
      </c>
    </row>
    <row r="120" spans="2:5">
      <c r="B120" s="131">
        <v>212</v>
      </c>
      <c r="D120" s="120" t="s">
        <v>353</v>
      </c>
      <c r="E120" s="132" t="s">
        <v>354</v>
      </c>
    </row>
    <row r="121" spans="2:5">
      <c r="B121" s="131">
        <v>213</v>
      </c>
      <c r="D121" s="120" t="s">
        <v>355</v>
      </c>
      <c r="E121" s="132" t="s">
        <v>356</v>
      </c>
    </row>
    <row r="122" spans="2:5">
      <c r="B122" s="131">
        <v>214</v>
      </c>
      <c r="D122" s="120" t="s">
        <v>357</v>
      </c>
      <c r="E122" s="132" t="s">
        <v>358</v>
      </c>
    </row>
    <row r="123" spans="2:5">
      <c r="B123" s="131">
        <v>215</v>
      </c>
      <c r="D123" s="120" t="s">
        <v>359</v>
      </c>
      <c r="E123" s="132" t="s">
        <v>360</v>
      </c>
    </row>
    <row r="124" spans="2:5">
      <c r="B124" s="131">
        <v>216</v>
      </c>
      <c r="D124" s="120" t="s">
        <v>361</v>
      </c>
      <c r="E124" s="132" t="s">
        <v>362</v>
      </c>
    </row>
    <row r="125" spans="2:5">
      <c r="B125" s="131">
        <v>217</v>
      </c>
      <c r="D125" s="120" t="s">
        <v>363</v>
      </c>
      <c r="E125" s="132" t="s">
        <v>364</v>
      </c>
    </row>
    <row r="126" spans="2:5">
      <c r="B126" s="131">
        <v>218</v>
      </c>
      <c r="D126" s="120" t="s">
        <v>365</v>
      </c>
      <c r="E126" s="132" t="s">
        <v>366</v>
      </c>
    </row>
    <row r="127" spans="2:5">
      <c r="B127" s="131">
        <v>219</v>
      </c>
      <c r="D127" s="120" t="s">
        <v>367</v>
      </c>
      <c r="E127" s="132" t="s">
        <v>368</v>
      </c>
    </row>
    <row r="128" spans="2:5">
      <c r="B128" s="131">
        <v>220</v>
      </c>
      <c r="D128" s="120" t="s">
        <v>369</v>
      </c>
      <c r="E128" s="132" t="s">
        <v>370</v>
      </c>
    </row>
    <row r="129" spans="2:5">
      <c r="B129" s="131">
        <v>221</v>
      </c>
      <c r="D129" s="120" t="s">
        <v>371</v>
      </c>
      <c r="E129" s="132" t="s">
        <v>372</v>
      </c>
    </row>
    <row r="130" spans="2:5">
      <c r="B130" s="131">
        <v>222</v>
      </c>
      <c r="D130" s="120" t="s">
        <v>373</v>
      </c>
      <c r="E130" s="132" t="s">
        <v>374</v>
      </c>
    </row>
    <row r="131" spans="2:5">
      <c r="B131" s="131">
        <v>223</v>
      </c>
      <c r="D131" s="120" t="s">
        <v>375</v>
      </c>
      <c r="E131" s="132" t="s">
        <v>376</v>
      </c>
    </row>
    <row r="132" spans="2:5">
      <c r="B132" s="131">
        <v>224</v>
      </c>
      <c r="D132" s="120" t="s">
        <v>377</v>
      </c>
      <c r="E132" s="132" t="s">
        <v>378</v>
      </c>
    </row>
    <row r="133" spans="2:5">
      <c r="B133" s="131">
        <v>225</v>
      </c>
      <c r="D133" s="120" t="s">
        <v>379</v>
      </c>
      <c r="E133" s="132" t="s">
        <v>380</v>
      </c>
    </row>
    <row r="134" spans="2:5">
      <c r="B134" s="131">
        <v>226</v>
      </c>
      <c r="D134" s="120" t="s">
        <v>381</v>
      </c>
      <c r="E134" s="132" t="s">
        <v>382</v>
      </c>
    </row>
    <row r="135" spans="2:5">
      <c r="B135" s="131">
        <v>227</v>
      </c>
      <c r="D135" s="120" t="s">
        <v>383</v>
      </c>
      <c r="E135" s="132" t="s">
        <v>384</v>
      </c>
    </row>
    <row r="136" spans="2:5">
      <c r="B136" s="131">
        <v>228</v>
      </c>
      <c r="D136" s="120" t="s">
        <v>385</v>
      </c>
      <c r="E136" s="132" t="s">
        <v>386</v>
      </c>
    </row>
    <row r="137" spans="2:5">
      <c r="B137" s="131">
        <v>229</v>
      </c>
      <c r="D137" s="120" t="s">
        <v>387</v>
      </c>
      <c r="E137" s="132" t="s">
        <v>388</v>
      </c>
    </row>
    <row r="138" spans="2:5">
      <c r="B138" s="131">
        <v>230</v>
      </c>
      <c r="D138" s="120" t="s">
        <v>389</v>
      </c>
      <c r="E138" s="132" t="s">
        <v>390</v>
      </c>
    </row>
    <row r="139" spans="2:5">
      <c r="B139" s="131">
        <v>231</v>
      </c>
      <c r="D139" s="120" t="s">
        <v>391</v>
      </c>
      <c r="E139" s="132" t="s">
        <v>392</v>
      </c>
    </row>
    <row r="140" spans="2:5" ht="36">
      <c r="B140" s="131">
        <v>232</v>
      </c>
      <c r="D140" s="120" t="s">
        <v>393</v>
      </c>
      <c r="E140" s="132" t="s">
        <v>394</v>
      </c>
    </row>
    <row r="141" spans="2:5">
      <c r="B141" s="131">
        <v>233</v>
      </c>
      <c r="D141" s="120" t="s">
        <v>395</v>
      </c>
      <c r="E141" s="132" t="s">
        <v>396</v>
      </c>
    </row>
    <row r="142" spans="2:5">
      <c r="B142" s="131">
        <v>234</v>
      </c>
      <c r="D142" s="120" t="s">
        <v>397</v>
      </c>
      <c r="E142" s="132" t="s">
        <v>398</v>
      </c>
    </row>
    <row r="143" spans="2:5">
      <c r="B143" s="131">
        <v>235</v>
      </c>
      <c r="D143" s="120" t="s">
        <v>399</v>
      </c>
      <c r="E143" s="132" t="s">
        <v>400</v>
      </c>
    </row>
    <row r="144" spans="2:5">
      <c r="B144" s="131">
        <v>236</v>
      </c>
      <c r="D144" s="120" t="s">
        <v>401</v>
      </c>
      <c r="E144" s="132" t="s">
        <v>402</v>
      </c>
    </row>
    <row r="145" spans="2:5">
      <c r="B145" s="131">
        <v>237</v>
      </c>
      <c r="D145" s="120" t="s">
        <v>403</v>
      </c>
      <c r="E145" s="132" t="s">
        <v>404</v>
      </c>
    </row>
    <row r="146" spans="2:5">
      <c r="B146" s="131">
        <v>238</v>
      </c>
      <c r="D146" s="120" t="s">
        <v>405</v>
      </c>
      <c r="E146" s="132" t="s">
        <v>406</v>
      </c>
    </row>
    <row r="147" spans="2:5">
      <c r="B147" s="131">
        <v>239</v>
      </c>
      <c r="D147" s="120" t="s">
        <v>407</v>
      </c>
      <c r="E147" s="132" t="s">
        <v>408</v>
      </c>
    </row>
    <row r="148" spans="2:5">
      <c r="B148" s="131">
        <v>240</v>
      </c>
      <c r="D148" s="120" t="s">
        <v>409</v>
      </c>
      <c r="E148" s="132" t="s">
        <v>410</v>
      </c>
    </row>
    <row r="149" spans="2:5">
      <c r="B149" s="131">
        <v>241</v>
      </c>
      <c r="D149" s="120" t="s">
        <v>411</v>
      </c>
      <c r="E149" s="132" t="s">
        <v>412</v>
      </c>
    </row>
    <row r="150" spans="2:5">
      <c r="B150" s="131">
        <v>242</v>
      </c>
      <c r="D150" s="120" t="s">
        <v>413</v>
      </c>
      <c r="E150" s="132" t="s">
        <v>414</v>
      </c>
    </row>
    <row r="151" spans="2:5">
      <c r="B151" s="131">
        <v>243</v>
      </c>
      <c r="D151" s="120" t="s">
        <v>415</v>
      </c>
      <c r="E151" s="132" t="s">
        <v>416</v>
      </c>
    </row>
    <row r="152" spans="2:5">
      <c r="B152" s="131">
        <v>244</v>
      </c>
      <c r="D152" s="120" t="s">
        <v>417</v>
      </c>
      <c r="E152" s="132" t="s">
        <v>418</v>
      </c>
    </row>
    <row r="153" spans="2:5">
      <c r="B153" s="131">
        <v>245</v>
      </c>
      <c r="D153" s="120" t="s">
        <v>419</v>
      </c>
      <c r="E153" s="132" t="s">
        <v>420</v>
      </c>
    </row>
    <row r="154" spans="2:5">
      <c r="B154" s="131">
        <v>246</v>
      </c>
      <c r="D154" s="120" t="s">
        <v>421</v>
      </c>
      <c r="E154" s="132" t="s">
        <v>422</v>
      </c>
    </row>
    <row r="155" spans="2:5">
      <c r="B155" s="131">
        <v>247</v>
      </c>
      <c r="D155" s="120" t="s">
        <v>423</v>
      </c>
      <c r="E155" s="132" t="s">
        <v>424</v>
      </c>
    </row>
    <row r="156" spans="2:5">
      <c r="B156" s="131">
        <v>248</v>
      </c>
      <c r="D156" s="120" t="s">
        <v>425</v>
      </c>
      <c r="E156" s="132" t="s">
        <v>426</v>
      </c>
    </row>
    <row r="157" spans="2:5">
      <c r="B157" s="131">
        <v>249</v>
      </c>
      <c r="D157" s="120" t="s">
        <v>427</v>
      </c>
      <c r="E157" s="132" t="s">
        <v>428</v>
      </c>
    </row>
    <row r="158" spans="2:5">
      <c r="B158" s="131">
        <v>250</v>
      </c>
      <c r="D158" s="120" t="s">
        <v>429</v>
      </c>
      <c r="E158" s="132" t="s">
        <v>430</v>
      </c>
    </row>
    <row r="159" spans="2:5">
      <c r="B159" s="131">
        <v>251</v>
      </c>
      <c r="D159" s="120" t="s">
        <v>431</v>
      </c>
      <c r="E159" s="132" t="s">
        <v>432</v>
      </c>
    </row>
    <row r="160" spans="2:5">
      <c r="B160" s="131">
        <v>252</v>
      </c>
      <c r="D160" s="120" t="s">
        <v>433</v>
      </c>
      <c r="E160" s="132" t="s">
        <v>434</v>
      </c>
    </row>
    <row r="161" spans="2:5">
      <c r="B161" s="131">
        <v>253</v>
      </c>
      <c r="D161" s="120" t="s">
        <v>435</v>
      </c>
      <c r="E161" s="132" t="s">
        <v>436</v>
      </c>
    </row>
    <row r="162" spans="2:5" ht="24">
      <c r="B162" s="131">
        <v>254</v>
      </c>
      <c r="D162" s="120" t="s">
        <v>437</v>
      </c>
      <c r="E162" s="132" t="s">
        <v>438</v>
      </c>
    </row>
    <row r="163" spans="2:5" ht="24">
      <c r="B163" s="131">
        <v>255</v>
      </c>
      <c r="D163" s="120" t="s">
        <v>439</v>
      </c>
      <c r="E163" s="132" t="s">
        <v>440</v>
      </c>
    </row>
    <row r="164" spans="2:5" ht="24">
      <c r="B164" s="131">
        <v>256</v>
      </c>
      <c r="D164" s="120" t="s">
        <v>441</v>
      </c>
      <c r="E164" s="132" t="s">
        <v>442</v>
      </c>
    </row>
    <row r="165" spans="2:5">
      <c r="B165" s="131">
        <v>257</v>
      </c>
      <c r="D165" s="120" t="s">
        <v>443</v>
      </c>
      <c r="E165" s="132" t="s">
        <v>444</v>
      </c>
    </row>
    <row r="166" spans="2:5">
      <c r="B166" s="131">
        <v>258</v>
      </c>
      <c r="D166" s="120" t="s">
        <v>445</v>
      </c>
      <c r="E166" s="132" t="s">
        <v>446</v>
      </c>
    </row>
    <row r="167" spans="2:5">
      <c r="B167" s="131">
        <v>259</v>
      </c>
      <c r="D167" s="120" t="s">
        <v>447</v>
      </c>
      <c r="E167" s="132" t="s">
        <v>448</v>
      </c>
    </row>
    <row r="168" spans="2:5">
      <c r="B168" s="131">
        <v>260</v>
      </c>
      <c r="D168" s="120" t="s">
        <v>449</v>
      </c>
      <c r="E168" s="132" t="s">
        <v>450</v>
      </c>
    </row>
    <row r="169" spans="2:5">
      <c r="B169" s="131">
        <v>261</v>
      </c>
      <c r="D169" s="120" t="s">
        <v>451</v>
      </c>
      <c r="E169" s="132" t="s">
        <v>452</v>
      </c>
    </row>
    <row r="170" spans="2:5" ht="24">
      <c r="B170" s="131">
        <v>262</v>
      </c>
      <c r="D170" s="120" t="s">
        <v>453</v>
      </c>
      <c r="E170" s="132" t="s">
        <v>454</v>
      </c>
    </row>
    <row r="171" spans="2:5">
      <c r="B171" s="131">
        <v>263</v>
      </c>
      <c r="D171" s="120" t="s">
        <v>455</v>
      </c>
      <c r="E171" s="132" t="s">
        <v>456</v>
      </c>
    </row>
    <row r="172" spans="2:5">
      <c r="B172" s="131">
        <v>264</v>
      </c>
      <c r="D172" s="120" t="s">
        <v>457</v>
      </c>
      <c r="E172" s="132" t="s">
        <v>458</v>
      </c>
    </row>
    <row r="173" spans="2:5">
      <c r="B173" s="131">
        <v>265</v>
      </c>
      <c r="D173" s="120" t="s">
        <v>459</v>
      </c>
      <c r="E173" s="132" t="s">
        <v>460</v>
      </c>
    </row>
    <row r="174" spans="2:5">
      <c r="B174" s="131">
        <v>266</v>
      </c>
      <c r="D174" s="120" t="s">
        <v>461</v>
      </c>
      <c r="E174" s="132" t="s">
        <v>462</v>
      </c>
    </row>
    <row r="175" spans="2:5">
      <c r="B175" s="131">
        <v>267</v>
      </c>
      <c r="D175" s="120" t="s">
        <v>463</v>
      </c>
      <c r="E175" s="132" t="s">
        <v>464</v>
      </c>
    </row>
    <row r="176" spans="2:5">
      <c r="B176" s="131">
        <v>268</v>
      </c>
      <c r="D176" s="120" t="s">
        <v>465</v>
      </c>
      <c r="E176" s="132" t="s">
        <v>466</v>
      </c>
    </row>
    <row r="177" spans="2:5">
      <c r="B177" s="131">
        <v>269</v>
      </c>
      <c r="D177" s="120" t="s">
        <v>467</v>
      </c>
      <c r="E177" s="132" t="s">
        <v>468</v>
      </c>
    </row>
    <row r="178" spans="2:5">
      <c r="B178" s="131">
        <v>270</v>
      </c>
      <c r="D178" s="120" t="s">
        <v>469</v>
      </c>
      <c r="E178" s="132" t="s">
        <v>470</v>
      </c>
    </row>
    <row r="179" spans="2:5">
      <c r="B179" s="131">
        <v>271</v>
      </c>
      <c r="D179" s="120" t="s">
        <v>471</v>
      </c>
      <c r="E179" s="132" t="s">
        <v>472</v>
      </c>
    </row>
    <row r="180" spans="2:5" ht="24">
      <c r="B180" s="131">
        <v>272</v>
      </c>
      <c r="D180" s="120" t="s">
        <v>473</v>
      </c>
    </row>
    <row r="181" spans="2:5">
      <c r="B181" s="131">
        <v>273</v>
      </c>
      <c r="D181" s="120" t="s">
        <v>474</v>
      </c>
      <c r="E181" s="132" t="s">
        <v>475</v>
      </c>
    </row>
    <row r="182" spans="2:5">
      <c r="B182" s="131">
        <v>274</v>
      </c>
      <c r="D182" s="120" t="s">
        <v>476</v>
      </c>
      <c r="E182" s="132" t="s">
        <v>477</v>
      </c>
    </row>
    <row r="183" spans="2:5">
      <c r="B183" s="131">
        <v>275</v>
      </c>
      <c r="D183" s="120" t="s">
        <v>478</v>
      </c>
      <c r="E183" s="132" t="s">
        <v>479</v>
      </c>
    </row>
    <row r="184" spans="2:5">
      <c r="B184" s="131">
        <v>276</v>
      </c>
      <c r="D184" s="120" t="s">
        <v>480</v>
      </c>
      <c r="E184" s="132" t="s">
        <v>481</v>
      </c>
    </row>
    <row r="185" spans="2:5">
      <c r="B185" s="131">
        <v>277</v>
      </c>
      <c r="D185" s="120" t="s">
        <v>482</v>
      </c>
      <c r="E185" s="132" t="s">
        <v>483</v>
      </c>
    </row>
    <row r="186" spans="2:5">
      <c r="B186" s="131">
        <v>278</v>
      </c>
      <c r="D186" s="120" t="s">
        <v>484</v>
      </c>
      <c r="E186" s="132" t="s">
        <v>485</v>
      </c>
    </row>
    <row r="187" spans="2:5">
      <c r="B187" s="131">
        <v>279</v>
      </c>
      <c r="D187" s="120" t="s">
        <v>486</v>
      </c>
      <c r="E187" s="132" t="s">
        <v>487</v>
      </c>
    </row>
    <row r="188" spans="2:5">
      <c r="B188" s="131">
        <v>280</v>
      </c>
      <c r="D188" s="120" t="s">
        <v>488</v>
      </c>
      <c r="E188" s="132" t="s">
        <v>488</v>
      </c>
    </row>
    <row r="189" spans="2:5">
      <c r="B189" s="131">
        <v>281</v>
      </c>
      <c r="D189" s="120" t="s">
        <v>489</v>
      </c>
      <c r="E189" s="132" t="s">
        <v>489</v>
      </c>
    </row>
    <row r="190" spans="2:5">
      <c r="B190" s="131">
        <v>282</v>
      </c>
      <c r="D190" s="120" t="s">
        <v>490</v>
      </c>
      <c r="E190" s="132" t="s">
        <v>491</v>
      </c>
    </row>
    <row r="191" spans="2:5">
      <c r="B191" s="131">
        <v>283</v>
      </c>
      <c r="D191" s="120" t="s">
        <v>492</v>
      </c>
      <c r="E191" s="132" t="s">
        <v>493</v>
      </c>
    </row>
    <row r="192" spans="2:5">
      <c r="B192" s="131">
        <v>284</v>
      </c>
      <c r="D192" s="120" t="s">
        <v>494</v>
      </c>
      <c r="E192" s="132" t="s">
        <v>495</v>
      </c>
    </row>
    <row r="193" spans="2:5">
      <c r="B193" s="131">
        <v>285</v>
      </c>
      <c r="D193" s="120" t="s">
        <v>496</v>
      </c>
      <c r="E193" s="132" t="s">
        <v>497</v>
      </c>
    </row>
    <row r="194" spans="2:5">
      <c r="B194" s="131">
        <v>286</v>
      </c>
      <c r="D194" s="120" t="s">
        <v>498</v>
      </c>
      <c r="E194" s="132" t="s">
        <v>499</v>
      </c>
    </row>
    <row r="195" spans="2:5">
      <c r="B195" s="131">
        <v>287</v>
      </c>
      <c r="D195" s="120" t="s">
        <v>500</v>
      </c>
      <c r="E195" s="132" t="s">
        <v>501</v>
      </c>
    </row>
    <row r="196" spans="2:5">
      <c r="B196" s="131">
        <v>288</v>
      </c>
      <c r="D196" s="120" t="s">
        <v>502</v>
      </c>
      <c r="E196" s="132" t="s">
        <v>499</v>
      </c>
    </row>
    <row r="197" spans="2:5">
      <c r="B197" s="131">
        <v>289</v>
      </c>
      <c r="D197" s="120" t="s">
        <v>503</v>
      </c>
      <c r="E197" s="132" t="s">
        <v>504</v>
      </c>
    </row>
    <row r="198" spans="2:5">
      <c r="B198" s="131">
        <v>290</v>
      </c>
      <c r="D198" s="120" t="s">
        <v>505</v>
      </c>
      <c r="E198" s="132" t="s">
        <v>506</v>
      </c>
    </row>
    <row r="199" spans="2:5">
      <c r="B199" s="131">
        <v>291</v>
      </c>
      <c r="D199" s="120" t="s">
        <v>507</v>
      </c>
      <c r="E199" s="132" t="s">
        <v>508</v>
      </c>
    </row>
    <row r="200" spans="2:5">
      <c r="B200" s="131">
        <v>292</v>
      </c>
      <c r="D200" s="120" t="s">
        <v>509</v>
      </c>
      <c r="E200" s="132" t="s">
        <v>510</v>
      </c>
    </row>
    <row r="201" spans="2:5">
      <c r="B201" s="131">
        <v>293</v>
      </c>
      <c r="D201" s="120" t="s">
        <v>511</v>
      </c>
      <c r="E201" s="132" t="s">
        <v>512</v>
      </c>
    </row>
    <row r="202" spans="2:5">
      <c r="B202" s="131">
        <v>294</v>
      </c>
      <c r="D202" s="120" t="s">
        <v>513</v>
      </c>
      <c r="E202" s="132" t="s">
        <v>514</v>
      </c>
    </row>
    <row r="203" spans="2:5">
      <c r="B203" s="131">
        <v>295</v>
      </c>
      <c r="D203" s="120" t="s">
        <v>515</v>
      </c>
      <c r="E203" s="132" t="s">
        <v>516</v>
      </c>
    </row>
    <row r="204" spans="2:5">
      <c r="B204" s="131">
        <v>296</v>
      </c>
      <c r="D204" s="120" t="s">
        <v>517</v>
      </c>
      <c r="E204" s="132" t="s">
        <v>518</v>
      </c>
    </row>
    <row r="205" spans="2:5">
      <c r="B205" s="131">
        <v>297</v>
      </c>
      <c r="D205" s="120" t="s">
        <v>519</v>
      </c>
      <c r="E205" s="132" t="s">
        <v>520</v>
      </c>
    </row>
    <row r="206" spans="2:5">
      <c r="B206" s="131">
        <v>298</v>
      </c>
      <c r="D206" s="120" t="s">
        <v>521</v>
      </c>
      <c r="E206" s="132" t="s">
        <v>522</v>
      </c>
    </row>
    <row r="207" spans="2:5" ht="24">
      <c r="B207" s="131">
        <v>299</v>
      </c>
      <c r="D207" s="120" t="s">
        <v>523</v>
      </c>
      <c r="E207" s="132" t="s">
        <v>524</v>
      </c>
    </row>
    <row r="208" spans="2:5" ht="24">
      <c r="B208" s="131">
        <v>300</v>
      </c>
      <c r="D208" s="120" t="s">
        <v>525</v>
      </c>
      <c r="E208" s="132" t="s">
        <v>526</v>
      </c>
    </row>
    <row r="209" spans="2:5">
      <c r="B209" s="131">
        <v>301</v>
      </c>
      <c r="D209" s="120" t="s">
        <v>527</v>
      </c>
      <c r="E209" s="132" t="s">
        <v>528</v>
      </c>
    </row>
    <row r="210" spans="2:5">
      <c r="B210" s="131">
        <v>302</v>
      </c>
      <c r="D210" s="120" t="s">
        <v>529</v>
      </c>
      <c r="E210" s="132" t="s">
        <v>530</v>
      </c>
    </row>
    <row r="211" spans="2:5">
      <c r="B211" s="131">
        <v>303</v>
      </c>
      <c r="D211" s="120" t="s">
        <v>531</v>
      </c>
      <c r="E211" s="132" t="s">
        <v>532</v>
      </c>
    </row>
    <row r="212" spans="2:5">
      <c r="B212" s="131">
        <v>304</v>
      </c>
      <c r="D212" s="120" t="s">
        <v>533</v>
      </c>
      <c r="E212" s="132" t="s">
        <v>534</v>
      </c>
    </row>
    <row r="213" spans="2:5">
      <c r="B213" s="131">
        <v>305</v>
      </c>
      <c r="D213" s="120" t="s">
        <v>535</v>
      </c>
      <c r="E213" s="132" t="s">
        <v>536</v>
      </c>
    </row>
    <row r="214" spans="2:5">
      <c r="B214" s="131">
        <v>306</v>
      </c>
      <c r="D214" s="120" t="s">
        <v>537</v>
      </c>
      <c r="E214" s="132" t="s">
        <v>538</v>
      </c>
    </row>
    <row r="215" spans="2:5">
      <c r="B215" s="131">
        <v>307</v>
      </c>
      <c r="D215" s="120" t="s">
        <v>539</v>
      </c>
      <c r="E215" s="132" t="s">
        <v>540</v>
      </c>
    </row>
    <row r="216" spans="2:5">
      <c r="B216" s="131">
        <v>308</v>
      </c>
      <c r="D216" s="120" t="s">
        <v>541</v>
      </c>
      <c r="E216" s="132" t="s">
        <v>542</v>
      </c>
    </row>
    <row r="217" spans="2:5">
      <c r="B217" s="131">
        <v>309</v>
      </c>
      <c r="D217" s="120" t="s">
        <v>543</v>
      </c>
      <c r="E217" s="132" t="s">
        <v>544</v>
      </c>
    </row>
    <row r="218" spans="2:5">
      <c r="B218" s="131">
        <v>310</v>
      </c>
      <c r="D218" s="120" t="s">
        <v>545</v>
      </c>
      <c r="E218" s="132" t="s">
        <v>546</v>
      </c>
    </row>
    <row r="219" spans="2:5" ht="24">
      <c r="B219" s="131">
        <v>311</v>
      </c>
      <c r="D219" s="120" t="s">
        <v>547</v>
      </c>
      <c r="E219" s="132" t="s">
        <v>548</v>
      </c>
    </row>
    <row r="220" spans="2:5">
      <c r="B220" s="131">
        <v>312</v>
      </c>
      <c r="D220" s="120" t="s">
        <v>549</v>
      </c>
      <c r="E220" s="132" t="s">
        <v>550</v>
      </c>
    </row>
    <row r="221" spans="2:5">
      <c r="B221" s="131">
        <v>313</v>
      </c>
      <c r="C221" s="128" t="s">
        <v>205</v>
      </c>
      <c r="D221" s="120" t="s">
        <v>551</v>
      </c>
      <c r="E221" s="158" t="s">
        <v>552</v>
      </c>
    </row>
    <row r="222" spans="2:5">
      <c r="B222" s="131">
        <v>314</v>
      </c>
      <c r="D222" s="120" t="s">
        <v>553</v>
      </c>
      <c r="E222" s="132" t="s">
        <v>554</v>
      </c>
    </row>
    <row r="223" spans="2:5">
      <c r="B223" s="131">
        <v>315</v>
      </c>
      <c r="D223" s="120" t="s">
        <v>555</v>
      </c>
      <c r="E223" s="132" t="s">
        <v>556</v>
      </c>
    </row>
    <row r="224" spans="2:5">
      <c r="B224" s="131">
        <v>316</v>
      </c>
      <c r="D224" s="120" t="s">
        <v>557</v>
      </c>
      <c r="E224" s="132" t="s">
        <v>558</v>
      </c>
    </row>
    <row r="225" spans="1:6">
      <c r="B225" s="131">
        <v>317</v>
      </c>
      <c r="D225" s="120" t="s">
        <v>559</v>
      </c>
      <c r="E225" s="132" t="s">
        <v>560</v>
      </c>
    </row>
    <row r="226" spans="1:6">
      <c r="B226" s="131">
        <v>318</v>
      </c>
      <c r="D226" s="120" t="s">
        <v>561</v>
      </c>
      <c r="E226" s="132" t="s">
        <v>562</v>
      </c>
    </row>
    <row r="227" spans="1:6">
      <c r="B227" s="131">
        <v>319</v>
      </c>
      <c r="D227" s="120" t="s">
        <v>563</v>
      </c>
      <c r="E227" s="132" t="s">
        <v>564</v>
      </c>
    </row>
    <row r="228" spans="1:6">
      <c r="B228" s="131">
        <v>320</v>
      </c>
      <c r="D228" s="120" t="s">
        <v>565</v>
      </c>
      <c r="E228" s="132" t="s">
        <v>566</v>
      </c>
    </row>
    <row r="229" spans="1:6" ht="36">
      <c r="B229" s="131">
        <v>321</v>
      </c>
      <c r="D229" s="120" t="s">
        <v>567</v>
      </c>
      <c r="E229" s="132" t="s">
        <v>568</v>
      </c>
    </row>
    <row r="230" spans="1:6">
      <c r="B230" s="131">
        <v>322</v>
      </c>
      <c r="D230" s="120" t="s">
        <v>569</v>
      </c>
      <c r="E230" s="132" t="s">
        <v>570</v>
      </c>
    </row>
    <row r="231" spans="1:6" ht="24">
      <c r="B231" s="131">
        <v>323</v>
      </c>
      <c r="D231" s="120" t="s">
        <v>571</v>
      </c>
      <c r="E231" s="132" t="s">
        <v>572</v>
      </c>
    </row>
    <row r="232" spans="1:6">
      <c r="A232" s="122"/>
      <c r="B232" s="131">
        <v>324</v>
      </c>
      <c r="C232" s="130" t="s">
        <v>159</v>
      </c>
      <c r="D232" s="121" t="s">
        <v>573</v>
      </c>
      <c r="E232" s="121" t="s">
        <v>574</v>
      </c>
      <c r="F232" s="123"/>
    </row>
    <row r="233" spans="1:6">
      <c r="A233" s="122"/>
      <c r="B233" s="131">
        <v>325</v>
      </c>
      <c r="C233" s="130" t="s">
        <v>159</v>
      </c>
      <c r="D233" s="121" t="s">
        <v>575</v>
      </c>
      <c r="E233" s="121" t="s">
        <v>576</v>
      </c>
      <c r="F233" s="123"/>
    </row>
    <row r="234" spans="1:6">
      <c r="A234" s="122"/>
      <c r="B234" s="131">
        <v>326</v>
      </c>
      <c r="C234" s="130" t="s">
        <v>159</v>
      </c>
      <c r="D234" s="121" t="s">
        <v>577</v>
      </c>
      <c r="E234" s="121" t="s">
        <v>578</v>
      </c>
      <c r="F234" s="123"/>
    </row>
    <row r="235" spans="1:6">
      <c r="B235" s="131">
        <v>327</v>
      </c>
      <c r="D235" s="120" t="s">
        <v>579</v>
      </c>
      <c r="E235" s="132" t="s">
        <v>580</v>
      </c>
    </row>
    <row r="236" spans="1:6" ht="12.75">
      <c r="B236" s="131">
        <v>328</v>
      </c>
      <c r="D236" s="120" t="s">
        <v>581</v>
      </c>
      <c r="E236" s="160" t="s">
        <v>582</v>
      </c>
    </row>
    <row r="237" spans="1:6">
      <c r="B237" s="131">
        <v>329</v>
      </c>
      <c r="D237" s="120" t="s">
        <v>583</v>
      </c>
      <c r="E237" s="132" t="s">
        <v>584</v>
      </c>
    </row>
    <row r="238" spans="1:6">
      <c r="B238" s="131">
        <v>330</v>
      </c>
      <c r="D238" s="120" t="s">
        <v>585</v>
      </c>
      <c r="E238" s="132" t="s">
        <v>586</v>
      </c>
    </row>
    <row r="239" spans="1:6">
      <c r="B239" s="131">
        <v>331</v>
      </c>
      <c r="D239" s="120" t="s">
        <v>587</v>
      </c>
      <c r="E239" s="132" t="s">
        <v>588</v>
      </c>
    </row>
    <row r="240" spans="1:6">
      <c r="B240" s="131">
        <v>332</v>
      </c>
      <c r="D240" s="120" t="s">
        <v>589</v>
      </c>
      <c r="E240" s="132" t="s">
        <v>590</v>
      </c>
    </row>
    <row r="241" spans="2:5">
      <c r="B241" s="131">
        <v>333</v>
      </c>
      <c r="D241" s="120" t="s">
        <v>591</v>
      </c>
      <c r="E241" s="132" t="s">
        <v>592</v>
      </c>
    </row>
    <row r="242" spans="2:5">
      <c r="B242" s="131">
        <v>334</v>
      </c>
      <c r="D242" s="120" t="s">
        <v>593</v>
      </c>
      <c r="E242" s="132" t="s">
        <v>594</v>
      </c>
    </row>
    <row r="243" spans="2:5">
      <c r="B243" s="131">
        <v>335</v>
      </c>
      <c r="D243" s="120" t="s">
        <v>595</v>
      </c>
      <c r="E243" s="132" t="s">
        <v>596</v>
      </c>
    </row>
    <row r="244" spans="2:5">
      <c r="B244" s="131">
        <v>336</v>
      </c>
      <c r="D244" s="120" t="s">
        <v>597</v>
      </c>
      <c r="E244" s="132" t="s">
        <v>598</v>
      </c>
    </row>
    <row r="245" spans="2:5">
      <c r="B245" s="131">
        <v>337</v>
      </c>
      <c r="D245" s="120" t="s">
        <v>599</v>
      </c>
      <c r="E245" s="132" t="s">
        <v>600</v>
      </c>
    </row>
    <row r="246" spans="2:5">
      <c r="B246" s="131">
        <v>338</v>
      </c>
      <c r="D246" s="120" t="s">
        <v>601</v>
      </c>
      <c r="E246" s="132" t="s">
        <v>602</v>
      </c>
    </row>
    <row r="247" spans="2:5">
      <c r="B247" s="131">
        <v>339</v>
      </c>
      <c r="D247" s="120" t="s">
        <v>603</v>
      </c>
      <c r="E247" s="132" t="s">
        <v>604</v>
      </c>
    </row>
    <row r="248" spans="2:5">
      <c r="B248" s="131">
        <v>340</v>
      </c>
      <c r="D248" s="120" t="s">
        <v>605</v>
      </c>
      <c r="E248" s="132" t="s">
        <v>606</v>
      </c>
    </row>
    <row r="249" spans="2:5">
      <c r="B249" s="131">
        <v>341</v>
      </c>
      <c r="D249" s="120" t="s">
        <v>607</v>
      </c>
      <c r="E249" s="132" t="s">
        <v>608</v>
      </c>
    </row>
    <row r="250" spans="2:5">
      <c r="B250" s="131">
        <v>342</v>
      </c>
      <c r="D250" s="120" t="s">
        <v>609</v>
      </c>
      <c r="E250" s="132" t="s">
        <v>610</v>
      </c>
    </row>
    <row r="251" spans="2:5">
      <c r="B251" s="131">
        <v>343</v>
      </c>
      <c r="D251" s="120" t="s">
        <v>611</v>
      </c>
      <c r="E251" s="132" t="s">
        <v>612</v>
      </c>
    </row>
    <row r="252" spans="2:5">
      <c r="B252" s="131">
        <v>344</v>
      </c>
      <c r="D252" s="120" t="s">
        <v>613</v>
      </c>
      <c r="E252" s="132" t="s">
        <v>614</v>
      </c>
    </row>
    <row r="253" spans="2:5">
      <c r="B253" s="131">
        <v>345</v>
      </c>
      <c r="D253" s="120" t="s">
        <v>615</v>
      </c>
      <c r="E253" s="132" t="s">
        <v>616</v>
      </c>
    </row>
    <row r="254" spans="2:5">
      <c r="B254" s="131">
        <v>346</v>
      </c>
      <c r="D254" s="120" t="s">
        <v>617</v>
      </c>
      <c r="E254" s="132" t="s">
        <v>618</v>
      </c>
    </row>
    <row r="255" spans="2:5">
      <c r="B255" s="131">
        <v>347</v>
      </c>
      <c r="D255" s="120" t="s">
        <v>619</v>
      </c>
      <c r="E255" s="132" t="s">
        <v>619</v>
      </c>
    </row>
    <row r="256" spans="2:5">
      <c r="B256" s="131">
        <v>348</v>
      </c>
      <c r="D256" s="120" t="s">
        <v>620</v>
      </c>
      <c r="E256" s="132" t="s">
        <v>621</v>
      </c>
    </row>
    <row r="257" spans="2:5" ht="24">
      <c r="B257" s="131">
        <v>349</v>
      </c>
      <c r="D257" s="120" t="s">
        <v>622</v>
      </c>
      <c r="E257" s="132" t="s">
        <v>623</v>
      </c>
    </row>
    <row r="258" spans="2:5">
      <c r="B258" s="131">
        <v>350</v>
      </c>
      <c r="D258" s="120" t="s">
        <v>624</v>
      </c>
      <c r="E258" s="132" t="s">
        <v>625</v>
      </c>
    </row>
    <row r="259" spans="2:5" ht="24">
      <c r="B259" s="131">
        <v>351</v>
      </c>
      <c r="D259" s="120" t="s">
        <v>626</v>
      </c>
      <c r="E259" s="132" t="s">
        <v>627</v>
      </c>
    </row>
    <row r="260" spans="2:5" ht="12.75">
      <c r="B260" s="131">
        <v>352</v>
      </c>
      <c r="D260" s="126" t="s">
        <v>628</v>
      </c>
      <c r="E260" s="159" t="s">
        <v>629</v>
      </c>
    </row>
    <row r="261" spans="2:5">
      <c r="B261" s="131">
        <v>353</v>
      </c>
      <c r="D261" s="120" t="s">
        <v>630</v>
      </c>
      <c r="E261" s="132" t="s">
        <v>631</v>
      </c>
    </row>
    <row r="262" spans="2:5">
      <c r="B262" s="131">
        <v>354</v>
      </c>
      <c r="D262" s="120" t="s">
        <v>632</v>
      </c>
      <c r="E262" s="132" t="s">
        <v>633</v>
      </c>
    </row>
    <row r="263" spans="2:5">
      <c r="B263" s="131">
        <v>355</v>
      </c>
      <c r="D263" s="120" t="s">
        <v>634</v>
      </c>
      <c r="E263" s="132" t="s">
        <v>635</v>
      </c>
    </row>
    <row r="264" spans="2:5">
      <c r="B264" s="131">
        <v>356</v>
      </c>
      <c r="D264" s="120" t="s">
        <v>636</v>
      </c>
      <c r="E264" s="132" t="s">
        <v>637</v>
      </c>
    </row>
    <row r="265" spans="2:5">
      <c r="B265" s="131">
        <v>357</v>
      </c>
      <c r="D265" s="120" t="s">
        <v>638</v>
      </c>
      <c r="E265" s="132" t="s">
        <v>639</v>
      </c>
    </row>
    <row r="266" spans="2:5">
      <c r="B266" s="131">
        <v>358</v>
      </c>
      <c r="D266" s="120" t="s">
        <v>640</v>
      </c>
      <c r="E266" s="132" t="s">
        <v>641</v>
      </c>
    </row>
    <row r="267" spans="2:5">
      <c r="B267" s="131">
        <v>359</v>
      </c>
      <c r="D267" s="120" t="s">
        <v>642</v>
      </c>
      <c r="E267" s="132" t="s">
        <v>643</v>
      </c>
    </row>
    <row r="268" spans="2:5">
      <c r="B268" s="131">
        <v>360</v>
      </c>
      <c r="D268" s="120" t="s">
        <v>644</v>
      </c>
      <c r="E268" s="132" t="s">
        <v>645</v>
      </c>
    </row>
    <row r="269" spans="2:5">
      <c r="B269" s="131">
        <v>361</v>
      </c>
      <c r="D269" s="120" t="s">
        <v>646</v>
      </c>
    </row>
    <row r="270" spans="2:5">
      <c r="B270" s="131">
        <v>362</v>
      </c>
      <c r="D270" s="120" t="s">
        <v>647</v>
      </c>
      <c r="E270" s="132" t="s">
        <v>648</v>
      </c>
    </row>
    <row r="271" spans="2:5" ht="24">
      <c r="B271" s="131">
        <v>363</v>
      </c>
      <c r="D271" s="120" t="s">
        <v>649</v>
      </c>
      <c r="E271" s="132" t="s">
        <v>650</v>
      </c>
    </row>
    <row r="272" spans="2:5" ht="24">
      <c r="B272" s="131">
        <v>364</v>
      </c>
      <c r="D272" s="120" t="s">
        <v>651</v>
      </c>
      <c r="E272" s="132" t="s">
        <v>652</v>
      </c>
    </row>
    <row r="273" spans="2:5">
      <c r="B273" s="131">
        <v>365</v>
      </c>
      <c r="D273" s="120" t="s">
        <v>653</v>
      </c>
      <c r="E273" s="132" t="s">
        <v>654</v>
      </c>
    </row>
    <row r="274" spans="2:5">
      <c r="B274" s="131">
        <v>366</v>
      </c>
      <c r="D274" s="120" t="s">
        <v>655</v>
      </c>
      <c r="E274" s="132" t="s">
        <v>656</v>
      </c>
    </row>
    <row r="275" spans="2:5">
      <c r="B275" s="131">
        <v>367</v>
      </c>
      <c r="D275" s="120" t="s">
        <v>657</v>
      </c>
      <c r="E275" s="132" t="s">
        <v>658</v>
      </c>
    </row>
    <row r="276" spans="2:5">
      <c r="B276" s="131">
        <v>368</v>
      </c>
      <c r="D276" s="120" t="s">
        <v>659</v>
      </c>
      <c r="E276" s="132" t="s">
        <v>660</v>
      </c>
    </row>
    <row r="277" spans="2:5">
      <c r="B277" s="131">
        <v>369</v>
      </c>
      <c r="D277" s="120" t="s">
        <v>661</v>
      </c>
      <c r="E277" s="132" t="s">
        <v>662</v>
      </c>
    </row>
    <row r="278" spans="2:5">
      <c r="B278" s="131">
        <v>370</v>
      </c>
      <c r="D278" s="120" t="s">
        <v>663</v>
      </c>
      <c r="E278" s="132" t="s">
        <v>664</v>
      </c>
    </row>
    <row r="279" spans="2:5">
      <c r="B279" s="131">
        <v>371</v>
      </c>
      <c r="D279" s="120" t="s">
        <v>665</v>
      </c>
      <c r="E279" s="132" t="s">
        <v>666</v>
      </c>
    </row>
    <row r="280" spans="2:5">
      <c r="B280" s="131">
        <v>372</v>
      </c>
      <c r="D280" s="120" t="s">
        <v>667</v>
      </c>
      <c r="E280" s="132" t="s">
        <v>668</v>
      </c>
    </row>
    <row r="281" spans="2:5">
      <c r="B281" s="131">
        <v>373</v>
      </c>
      <c r="D281" s="120" t="s">
        <v>669</v>
      </c>
      <c r="E281" s="132" t="s">
        <v>670</v>
      </c>
    </row>
    <row r="282" spans="2:5">
      <c r="B282" s="131">
        <v>374</v>
      </c>
      <c r="D282" s="120" t="s">
        <v>671</v>
      </c>
      <c r="E282" s="132" t="s">
        <v>672</v>
      </c>
    </row>
    <row r="283" spans="2:5">
      <c r="B283" s="131">
        <v>375</v>
      </c>
      <c r="D283" s="120" t="s">
        <v>673</v>
      </c>
      <c r="E283" s="132" t="s">
        <v>674</v>
      </c>
    </row>
    <row r="284" spans="2:5">
      <c r="B284" s="131">
        <v>376</v>
      </c>
      <c r="D284" s="120" t="s">
        <v>675</v>
      </c>
      <c r="E284" s="132" t="s">
        <v>676</v>
      </c>
    </row>
    <row r="285" spans="2:5">
      <c r="B285" s="131">
        <v>377</v>
      </c>
      <c r="D285" s="120" t="s">
        <v>677</v>
      </c>
      <c r="E285" s="132" t="s">
        <v>678</v>
      </c>
    </row>
    <row r="286" spans="2:5">
      <c r="B286" s="131">
        <v>378</v>
      </c>
      <c r="D286" s="120" t="s">
        <v>679</v>
      </c>
      <c r="E286" s="132" t="s">
        <v>680</v>
      </c>
    </row>
    <row r="287" spans="2:5">
      <c r="B287" s="131">
        <v>379</v>
      </c>
      <c r="D287" s="120" t="s">
        <v>681</v>
      </c>
      <c r="E287" s="132" t="s">
        <v>682</v>
      </c>
    </row>
    <row r="288" spans="2:5">
      <c r="B288" s="131">
        <v>380</v>
      </c>
      <c r="D288" s="120" t="s">
        <v>683</v>
      </c>
      <c r="E288" s="132" t="s">
        <v>684</v>
      </c>
    </row>
    <row r="289" spans="2:5">
      <c r="B289" s="131">
        <v>381</v>
      </c>
      <c r="D289" s="120" t="s">
        <v>685</v>
      </c>
      <c r="E289" s="132" t="s">
        <v>686</v>
      </c>
    </row>
    <row r="290" spans="2:5" ht="36">
      <c r="B290" s="131">
        <v>382</v>
      </c>
      <c r="D290" s="120" t="s">
        <v>687</v>
      </c>
      <c r="E290" s="132" t="s">
        <v>688</v>
      </c>
    </row>
    <row r="291" spans="2:5">
      <c r="B291" s="131">
        <v>383</v>
      </c>
      <c r="D291" s="120" t="s">
        <v>689</v>
      </c>
      <c r="E291" s="132" t="s">
        <v>690</v>
      </c>
    </row>
    <row r="292" spans="2:5" ht="24">
      <c r="B292" s="131">
        <v>384</v>
      </c>
      <c r="D292" s="120" t="s">
        <v>691</v>
      </c>
      <c r="E292" s="132" t="s">
        <v>692</v>
      </c>
    </row>
    <row r="293" spans="2:5">
      <c r="B293" s="131">
        <v>385</v>
      </c>
      <c r="D293" s="120" t="s">
        <v>693</v>
      </c>
      <c r="E293" s="132" t="s">
        <v>694</v>
      </c>
    </row>
    <row r="294" spans="2:5" ht="24">
      <c r="B294" s="131">
        <v>386</v>
      </c>
      <c r="D294" s="120" t="s">
        <v>695</v>
      </c>
      <c r="E294" s="132" t="s">
        <v>696</v>
      </c>
    </row>
    <row r="295" spans="2:5" ht="24">
      <c r="B295" s="131">
        <v>387</v>
      </c>
      <c r="D295" s="120" t="s">
        <v>697</v>
      </c>
      <c r="E295" s="132" t="s">
        <v>698</v>
      </c>
    </row>
    <row r="296" spans="2:5" ht="24">
      <c r="B296" s="131">
        <v>388</v>
      </c>
      <c r="D296" s="120" t="s">
        <v>699</v>
      </c>
      <c r="E296" s="132" t="s">
        <v>700</v>
      </c>
    </row>
    <row r="297" spans="2:5" ht="24">
      <c r="B297" s="131">
        <v>389</v>
      </c>
      <c r="D297" s="120" t="s">
        <v>701</v>
      </c>
      <c r="E297" s="132" t="s">
        <v>702</v>
      </c>
    </row>
    <row r="298" spans="2:5" ht="24">
      <c r="B298" s="131">
        <v>390</v>
      </c>
      <c r="D298" s="120" t="s">
        <v>703</v>
      </c>
      <c r="E298" s="132" t="s">
        <v>704</v>
      </c>
    </row>
    <row r="299" spans="2:5" ht="24">
      <c r="B299" s="131">
        <v>391</v>
      </c>
      <c r="D299" s="120" t="s">
        <v>705</v>
      </c>
      <c r="E299" s="132" t="s">
        <v>706</v>
      </c>
    </row>
    <row r="300" spans="2:5" ht="24">
      <c r="B300" s="131">
        <v>392</v>
      </c>
      <c r="D300" s="120" t="s">
        <v>707</v>
      </c>
      <c r="E300" s="132" t="s">
        <v>708</v>
      </c>
    </row>
    <row r="301" spans="2:5" ht="24">
      <c r="B301" s="131">
        <v>393</v>
      </c>
      <c r="D301" s="120" t="s">
        <v>709</v>
      </c>
      <c r="E301" s="132" t="s">
        <v>710</v>
      </c>
    </row>
    <row r="302" spans="2:5" ht="24">
      <c r="B302" s="131">
        <v>394</v>
      </c>
      <c r="D302" s="120" t="s">
        <v>711</v>
      </c>
      <c r="E302" s="132" t="s">
        <v>712</v>
      </c>
    </row>
    <row r="303" spans="2:5" ht="24">
      <c r="B303" s="131">
        <v>395</v>
      </c>
      <c r="D303" s="120" t="s">
        <v>713</v>
      </c>
      <c r="E303" s="132" t="s">
        <v>714</v>
      </c>
    </row>
    <row r="304" spans="2:5" ht="24">
      <c r="B304" s="131">
        <v>396</v>
      </c>
      <c r="D304" s="120" t="s">
        <v>715</v>
      </c>
      <c r="E304" s="132" t="s">
        <v>716</v>
      </c>
    </row>
    <row r="305" spans="2:5" ht="24">
      <c r="B305" s="131">
        <v>397</v>
      </c>
      <c r="D305" s="120" t="s">
        <v>717</v>
      </c>
      <c r="E305" s="132" t="s">
        <v>718</v>
      </c>
    </row>
    <row r="306" spans="2:5" ht="24">
      <c r="B306" s="131">
        <v>398</v>
      </c>
      <c r="D306" s="120" t="s">
        <v>719</v>
      </c>
      <c r="E306" s="132" t="s">
        <v>720</v>
      </c>
    </row>
    <row r="307" spans="2:5" ht="24">
      <c r="B307" s="131">
        <v>399</v>
      </c>
      <c r="D307" s="120" t="s">
        <v>721</v>
      </c>
      <c r="E307" s="132" t="s">
        <v>722</v>
      </c>
    </row>
    <row r="308" spans="2:5" ht="24">
      <c r="B308" s="131">
        <v>400</v>
      </c>
      <c r="D308" s="120" t="s">
        <v>723</v>
      </c>
      <c r="E308" s="132" t="s">
        <v>724</v>
      </c>
    </row>
    <row r="309" spans="2:5" ht="24">
      <c r="B309" s="131">
        <v>401</v>
      </c>
      <c r="D309" s="120" t="s">
        <v>725</v>
      </c>
      <c r="E309" s="132" t="s">
        <v>726</v>
      </c>
    </row>
    <row r="310" spans="2:5" ht="24">
      <c r="B310" s="131">
        <v>402</v>
      </c>
      <c r="D310" s="120" t="s">
        <v>727</v>
      </c>
      <c r="E310" s="132" t="s">
        <v>728</v>
      </c>
    </row>
    <row r="311" spans="2:5" ht="24">
      <c r="B311" s="131">
        <v>403</v>
      </c>
      <c r="D311" s="120" t="s">
        <v>729</v>
      </c>
      <c r="E311" s="132" t="s">
        <v>730</v>
      </c>
    </row>
    <row r="312" spans="2:5" ht="24">
      <c r="B312" s="131">
        <v>404</v>
      </c>
      <c r="D312" s="120" t="s">
        <v>731</v>
      </c>
      <c r="E312" s="132" t="s">
        <v>732</v>
      </c>
    </row>
    <row r="313" spans="2:5">
      <c r="B313" s="131">
        <v>405</v>
      </c>
      <c r="D313" s="120" t="s">
        <v>733</v>
      </c>
      <c r="E313" s="132" t="s">
        <v>734</v>
      </c>
    </row>
    <row r="314" spans="2:5">
      <c r="B314" s="131">
        <v>406</v>
      </c>
      <c r="D314" s="120" t="s">
        <v>735</v>
      </c>
      <c r="E314" s="132" t="s">
        <v>734</v>
      </c>
    </row>
    <row r="315" spans="2:5">
      <c r="B315" s="131">
        <v>407</v>
      </c>
      <c r="D315" s="120" t="s">
        <v>736</v>
      </c>
      <c r="E315" s="132" t="s">
        <v>737</v>
      </c>
    </row>
    <row r="316" spans="2:5" ht="24">
      <c r="B316" s="131">
        <v>408</v>
      </c>
      <c r="D316" s="120" t="s">
        <v>738</v>
      </c>
      <c r="E316" s="132" t="s">
        <v>739</v>
      </c>
    </row>
    <row r="317" spans="2:5">
      <c r="B317" s="131">
        <v>409</v>
      </c>
      <c r="D317" s="120" t="s">
        <v>740</v>
      </c>
      <c r="E317" s="132" t="s">
        <v>741</v>
      </c>
    </row>
    <row r="318" spans="2:5" ht="24">
      <c r="B318" s="131">
        <v>410</v>
      </c>
      <c r="D318" s="120" t="s">
        <v>742</v>
      </c>
      <c r="E318" s="132" t="s">
        <v>743</v>
      </c>
    </row>
    <row r="319" spans="2:5">
      <c r="B319" s="131">
        <v>411</v>
      </c>
      <c r="D319" s="120" t="s">
        <v>744</v>
      </c>
      <c r="E319" s="132" t="s">
        <v>745</v>
      </c>
    </row>
    <row r="320" spans="2:5" ht="24">
      <c r="B320" s="131">
        <v>412</v>
      </c>
      <c r="D320" s="120" t="s">
        <v>746</v>
      </c>
      <c r="E320" s="132" t="s">
        <v>747</v>
      </c>
    </row>
    <row r="321" spans="1:6">
      <c r="B321" s="131">
        <v>413</v>
      </c>
      <c r="D321" s="120" t="s">
        <v>748</v>
      </c>
      <c r="E321" s="132" t="s">
        <v>749</v>
      </c>
    </row>
    <row r="322" spans="1:6" ht="24">
      <c r="B322" s="131">
        <v>414</v>
      </c>
      <c r="D322" s="120" t="s">
        <v>750</v>
      </c>
      <c r="E322" s="132" t="s">
        <v>751</v>
      </c>
    </row>
    <row r="323" spans="1:6">
      <c r="B323" s="131">
        <v>415</v>
      </c>
      <c r="D323" s="120" t="s">
        <v>752</v>
      </c>
      <c r="E323" s="132" t="s">
        <v>753</v>
      </c>
    </row>
    <row r="324" spans="1:6" ht="36">
      <c r="B324" s="131">
        <v>416</v>
      </c>
      <c r="D324" s="120" t="s">
        <v>754</v>
      </c>
      <c r="E324" s="132" t="s">
        <v>755</v>
      </c>
    </row>
    <row r="325" spans="1:6">
      <c r="B325" s="131">
        <v>417</v>
      </c>
      <c r="D325" s="120" t="s">
        <v>756</v>
      </c>
      <c r="E325" s="132" t="s">
        <v>757</v>
      </c>
    </row>
    <row r="326" spans="1:6" ht="24">
      <c r="B326" s="131">
        <v>418</v>
      </c>
      <c r="D326" s="120" t="s">
        <v>758</v>
      </c>
      <c r="E326" s="132" t="s">
        <v>759</v>
      </c>
    </row>
    <row r="327" spans="1:6" ht="24">
      <c r="B327" s="131">
        <v>419</v>
      </c>
      <c r="D327" s="120" t="s">
        <v>760</v>
      </c>
      <c r="E327" s="132" t="s">
        <v>761</v>
      </c>
    </row>
    <row r="328" spans="1:6" ht="24">
      <c r="B328" s="131">
        <v>420</v>
      </c>
      <c r="D328" s="120" t="s">
        <v>762</v>
      </c>
      <c r="E328" s="132" t="s">
        <v>763</v>
      </c>
    </row>
    <row r="329" spans="1:6">
      <c r="B329" s="131">
        <v>421</v>
      </c>
      <c r="D329" s="120" t="s">
        <v>764</v>
      </c>
      <c r="E329" s="132" t="s">
        <v>765</v>
      </c>
    </row>
    <row r="330" spans="1:6">
      <c r="B330" s="131">
        <v>422</v>
      </c>
      <c r="D330" s="120" t="s">
        <v>766</v>
      </c>
      <c r="E330" s="132" t="s">
        <v>767</v>
      </c>
    </row>
    <row r="331" spans="1:6">
      <c r="B331" s="131">
        <v>423</v>
      </c>
      <c r="D331" s="120" t="s">
        <v>768</v>
      </c>
      <c r="E331" s="132" t="s">
        <v>769</v>
      </c>
    </row>
    <row r="332" spans="1:6">
      <c r="B332" s="131">
        <v>424</v>
      </c>
      <c r="D332" s="120" t="s">
        <v>770</v>
      </c>
      <c r="E332" s="132" t="s">
        <v>771</v>
      </c>
    </row>
    <row r="333" spans="1:6">
      <c r="B333" s="131">
        <v>425</v>
      </c>
      <c r="D333" s="120" t="s">
        <v>772</v>
      </c>
      <c r="E333" s="132" t="s">
        <v>773</v>
      </c>
    </row>
    <row r="334" spans="1:6">
      <c r="B334" s="131">
        <v>426</v>
      </c>
      <c r="D334" s="120" t="s">
        <v>774</v>
      </c>
      <c r="E334" s="132" t="s">
        <v>775</v>
      </c>
    </row>
    <row r="335" spans="1:6">
      <c r="B335" s="131">
        <v>427</v>
      </c>
      <c r="D335" s="120" t="s">
        <v>776</v>
      </c>
      <c r="E335" s="132" t="s">
        <v>777</v>
      </c>
    </row>
    <row r="336" spans="1:6" ht="38.25">
      <c r="A336" s="126"/>
      <c r="B336" s="131">
        <v>428</v>
      </c>
      <c r="C336" s="129" t="s">
        <v>205</v>
      </c>
      <c r="D336" s="126" t="s">
        <v>778</v>
      </c>
      <c r="E336" s="126" t="s">
        <v>779</v>
      </c>
      <c r="F336" s="127"/>
    </row>
    <row r="337" spans="2:5" ht="36">
      <c r="B337" s="131">
        <v>429</v>
      </c>
      <c r="D337" s="120" t="s">
        <v>780</v>
      </c>
      <c r="E337" s="132" t="s">
        <v>781</v>
      </c>
    </row>
    <row r="338" spans="2:5">
      <c r="B338" s="131">
        <v>430</v>
      </c>
      <c r="D338" s="120" t="s">
        <v>782</v>
      </c>
      <c r="E338" s="132" t="s">
        <v>783</v>
      </c>
    </row>
    <row r="339" spans="2:5">
      <c r="B339" s="131">
        <v>431</v>
      </c>
      <c r="D339" s="120" t="s">
        <v>784</v>
      </c>
      <c r="E339" s="132" t="s">
        <v>785</v>
      </c>
    </row>
    <row r="340" spans="2:5">
      <c r="B340" s="131">
        <v>432</v>
      </c>
      <c r="D340" s="120" t="s">
        <v>786</v>
      </c>
      <c r="E340" s="132" t="s">
        <v>787</v>
      </c>
    </row>
    <row r="341" spans="2:5" ht="24">
      <c r="B341" s="131">
        <v>433</v>
      </c>
      <c r="D341" s="120" t="s">
        <v>788</v>
      </c>
      <c r="E341" s="132" t="s">
        <v>789</v>
      </c>
    </row>
    <row r="342" spans="2:5">
      <c r="B342" s="131">
        <v>434</v>
      </c>
      <c r="D342" s="120" t="s">
        <v>790</v>
      </c>
      <c r="E342" s="132" t="s">
        <v>791</v>
      </c>
    </row>
    <row r="343" spans="2:5">
      <c r="B343" s="131">
        <v>435</v>
      </c>
      <c r="D343" s="120" t="s">
        <v>792</v>
      </c>
      <c r="E343" s="132" t="s">
        <v>793</v>
      </c>
    </row>
    <row r="344" spans="2:5">
      <c r="B344" s="131">
        <v>436</v>
      </c>
      <c r="D344" s="120" t="s">
        <v>794</v>
      </c>
      <c r="E344" s="132" t="s">
        <v>795</v>
      </c>
    </row>
    <row r="345" spans="2:5">
      <c r="B345" s="131">
        <v>437</v>
      </c>
      <c r="D345" s="120" t="s">
        <v>796</v>
      </c>
      <c r="E345" s="132" t="s">
        <v>797</v>
      </c>
    </row>
    <row r="346" spans="2:5">
      <c r="B346" s="131">
        <v>438</v>
      </c>
      <c r="D346" s="120" t="s">
        <v>798</v>
      </c>
      <c r="E346" s="132" t="s">
        <v>799</v>
      </c>
    </row>
    <row r="347" spans="2:5">
      <c r="B347" s="131">
        <v>439</v>
      </c>
      <c r="D347" s="120" t="s">
        <v>800</v>
      </c>
      <c r="E347" s="132" t="s">
        <v>801</v>
      </c>
    </row>
    <row r="348" spans="2:5">
      <c r="B348" s="131">
        <v>440</v>
      </c>
      <c r="D348" s="120" t="s">
        <v>802</v>
      </c>
      <c r="E348" s="132" t="s">
        <v>803</v>
      </c>
    </row>
    <row r="349" spans="2:5" ht="24">
      <c r="B349" s="131">
        <v>441</v>
      </c>
      <c r="D349" s="120" t="s">
        <v>804</v>
      </c>
      <c r="E349" s="132" t="s">
        <v>805</v>
      </c>
    </row>
    <row r="350" spans="2:5">
      <c r="B350" s="131">
        <v>442</v>
      </c>
      <c r="D350" s="120" t="s">
        <v>806</v>
      </c>
      <c r="E350" s="132" t="s">
        <v>807</v>
      </c>
    </row>
    <row r="351" spans="2:5">
      <c r="B351" s="131">
        <v>443</v>
      </c>
      <c r="D351" s="120" t="s">
        <v>808</v>
      </c>
      <c r="E351" s="132" t="s">
        <v>809</v>
      </c>
    </row>
    <row r="352" spans="2:5">
      <c r="B352" s="131">
        <v>444</v>
      </c>
      <c r="D352" s="120" t="s">
        <v>810</v>
      </c>
      <c r="E352" s="132" t="s">
        <v>811</v>
      </c>
    </row>
    <row r="353" spans="2:5" ht="36">
      <c r="B353" s="131">
        <v>445</v>
      </c>
      <c r="D353" s="120" t="s">
        <v>812</v>
      </c>
      <c r="E353" s="132" t="s">
        <v>813</v>
      </c>
    </row>
    <row r="354" spans="2:5">
      <c r="B354" s="131">
        <v>446</v>
      </c>
      <c r="D354" s="120" t="s">
        <v>814</v>
      </c>
      <c r="E354" s="132" t="s">
        <v>815</v>
      </c>
    </row>
    <row r="355" spans="2:5">
      <c r="B355" s="131">
        <v>447</v>
      </c>
      <c r="D355" s="120" t="s">
        <v>816</v>
      </c>
      <c r="E355" s="132" t="s">
        <v>817</v>
      </c>
    </row>
    <row r="356" spans="2:5">
      <c r="B356" s="131">
        <v>448</v>
      </c>
      <c r="D356" s="120" t="s">
        <v>818</v>
      </c>
      <c r="E356" s="132" t="s">
        <v>819</v>
      </c>
    </row>
    <row r="357" spans="2:5">
      <c r="B357" s="131">
        <v>449</v>
      </c>
      <c r="D357" s="120" t="s">
        <v>820</v>
      </c>
      <c r="E357" s="132" t="s">
        <v>821</v>
      </c>
    </row>
    <row r="358" spans="2:5">
      <c r="B358" s="131">
        <v>450</v>
      </c>
      <c r="D358" s="120" t="s">
        <v>822</v>
      </c>
      <c r="E358" s="132" t="s">
        <v>823</v>
      </c>
    </row>
    <row r="359" spans="2:5" ht="24">
      <c r="B359" s="131">
        <v>451</v>
      </c>
      <c r="D359" s="120" t="s">
        <v>824</v>
      </c>
      <c r="E359" s="132" t="s">
        <v>825</v>
      </c>
    </row>
    <row r="360" spans="2:5">
      <c r="B360" s="131">
        <v>452</v>
      </c>
      <c r="D360" s="120" t="s">
        <v>826</v>
      </c>
      <c r="E360" s="132" t="s">
        <v>827</v>
      </c>
    </row>
    <row r="361" spans="2:5">
      <c r="B361" s="131">
        <v>453</v>
      </c>
      <c r="D361" s="120" t="s">
        <v>828</v>
      </c>
      <c r="E361" s="132" t="s">
        <v>829</v>
      </c>
    </row>
    <row r="362" spans="2:5">
      <c r="B362" s="131">
        <v>454</v>
      </c>
      <c r="D362" s="120" t="s">
        <v>830</v>
      </c>
      <c r="E362" s="132" t="s">
        <v>831</v>
      </c>
    </row>
    <row r="363" spans="2:5" ht="24">
      <c r="B363" s="131">
        <v>455</v>
      </c>
      <c r="D363" s="120" t="s">
        <v>832</v>
      </c>
      <c r="E363" s="132" t="s">
        <v>833</v>
      </c>
    </row>
    <row r="364" spans="2:5">
      <c r="B364" s="131">
        <v>456</v>
      </c>
      <c r="D364" s="120" t="s">
        <v>834</v>
      </c>
      <c r="E364" s="132" t="s">
        <v>835</v>
      </c>
    </row>
    <row r="365" spans="2:5">
      <c r="B365" s="131">
        <v>457</v>
      </c>
      <c r="D365" s="120" t="s">
        <v>836</v>
      </c>
      <c r="E365" s="132" t="s">
        <v>837</v>
      </c>
    </row>
    <row r="366" spans="2:5">
      <c r="B366" s="131">
        <v>458</v>
      </c>
      <c r="D366" s="120" t="s">
        <v>838</v>
      </c>
      <c r="E366" s="132" t="s">
        <v>839</v>
      </c>
    </row>
    <row r="367" spans="2:5">
      <c r="B367" s="131">
        <v>459</v>
      </c>
      <c r="D367" s="120" t="s">
        <v>840</v>
      </c>
      <c r="E367" s="132" t="s">
        <v>841</v>
      </c>
    </row>
    <row r="368" spans="2:5" ht="36">
      <c r="B368" s="131">
        <v>460</v>
      </c>
      <c r="D368" s="120" t="s">
        <v>842</v>
      </c>
      <c r="E368" s="132" t="s">
        <v>843</v>
      </c>
    </row>
    <row r="369" spans="1:6">
      <c r="B369" s="131">
        <v>461</v>
      </c>
      <c r="D369" s="120" t="s">
        <v>844</v>
      </c>
      <c r="E369" s="132" t="s">
        <v>845</v>
      </c>
    </row>
    <row r="370" spans="1:6">
      <c r="B370" s="131">
        <v>462</v>
      </c>
      <c r="D370" s="120" t="s">
        <v>846</v>
      </c>
      <c r="E370" s="132" t="s">
        <v>847</v>
      </c>
    </row>
    <row r="371" spans="1:6">
      <c r="B371" s="131">
        <v>463</v>
      </c>
      <c r="D371" s="120" t="s">
        <v>848</v>
      </c>
      <c r="E371" s="132" t="s">
        <v>849</v>
      </c>
    </row>
    <row r="372" spans="1:6" ht="36">
      <c r="B372" s="131">
        <v>464</v>
      </c>
      <c r="D372" s="120" t="s">
        <v>850</v>
      </c>
      <c r="E372" s="132" t="s">
        <v>851</v>
      </c>
    </row>
    <row r="373" spans="1:6">
      <c r="B373" s="131">
        <v>465</v>
      </c>
      <c r="D373" s="120" t="s">
        <v>852</v>
      </c>
      <c r="E373" s="132" t="s">
        <v>853</v>
      </c>
    </row>
    <row r="374" spans="1:6">
      <c r="A374" s="122"/>
      <c r="B374" s="131">
        <v>466</v>
      </c>
      <c r="C374" s="130" t="s">
        <v>159</v>
      </c>
      <c r="D374" s="121" t="s">
        <v>854</v>
      </c>
      <c r="E374" s="121" t="s">
        <v>855</v>
      </c>
      <c r="F374" s="123"/>
    </row>
    <row r="375" spans="1:6">
      <c r="A375" s="122"/>
      <c r="B375" s="131">
        <v>467</v>
      </c>
      <c r="C375" s="130" t="s">
        <v>159</v>
      </c>
      <c r="D375" s="121" t="s">
        <v>856</v>
      </c>
      <c r="E375" s="121" t="s">
        <v>857</v>
      </c>
      <c r="F375" s="123"/>
    </row>
    <row r="376" spans="1:6" ht="12.75">
      <c r="B376" s="131">
        <v>468</v>
      </c>
      <c r="D376" s="120" t="s">
        <v>858</v>
      </c>
      <c r="E376" s="160" t="s">
        <v>859</v>
      </c>
    </row>
    <row r="377" spans="1:6">
      <c r="B377" s="131">
        <v>469</v>
      </c>
      <c r="D377" s="120" t="s">
        <v>860</v>
      </c>
      <c r="E377" s="132" t="s">
        <v>861</v>
      </c>
    </row>
    <row r="378" spans="1:6">
      <c r="B378" s="131">
        <v>470</v>
      </c>
      <c r="D378" s="120" t="s">
        <v>862</v>
      </c>
      <c r="E378" s="132" t="s">
        <v>863</v>
      </c>
    </row>
    <row r="379" spans="1:6" ht="24">
      <c r="B379" s="131">
        <v>471</v>
      </c>
      <c r="D379" s="120" t="s">
        <v>864</v>
      </c>
      <c r="E379" s="132" t="s">
        <v>865</v>
      </c>
    </row>
    <row r="380" spans="1:6">
      <c r="B380" s="131">
        <v>472</v>
      </c>
      <c r="D380" s="120" t="s">
        <v>866</v>
      </c>
      <c r="E380" s="132" t="s">
        <v>867</v>
      </c>
    </row>
    <row r="381" spans="1:6" ht="24">
      <c r="B381" s="131">
        <v>473</v>
      </c>
      <c r="D381" s="120" t="s">
        <v>868</v>
      </c>
      <c r="E381" s="132" t="s">
        <v>869</v>
      </c>
    </row>
    <row r="382" spans="1:6">
      <c r="B382" s="131">
        <v>474</v>
      </c>
      <c r="D382" s="120" t="s">
        <v>870</v>
      </c>
      <c r="E382" s="132" t="s">
        <v>871</v>
      </c>
    </row>
    <row r="383" spans="1:6">
      <c r="B383" s="131">
        <v>475</v>
      </c>
      <c r="D383" s="120" t="s">
        <v>872</v>
      </c>
      <c r="E383" s="132" t="s">
        <v>873</v>
      </c>
    </row>
    <row r="384" spans="1:6">
      <c r="B384" s="131">
        <v>476</v>
      </c>
      <c r="D384" s="120" t="s">
        <v>874</v>
      </c>
      <c r="E384" s="132" t="s">
        <v>875</v>
      </c>
    </row>
    <row r="385" spans="2:5">
      <c r="B385" s="131">
        <v>477</v>
      </c>
      <c r="D385" s="120" t="s">
        <v>876</v>
      </c>
      <c r="E385" s="132" t="s">
        <v>877</v>
      </c>
    </row>
    <row r="386" spans="2:5">
      <c r="B386" s="131">
        <v>478</v>
      </c>
      <c r="D386" s="120" t="s">
        <v>878</v>
      </c>
      <c r="E386" s="132" t="s">
        <v>879</v>
      </c>
    </row>
    <row r="387" spans="2:5">
      <c r="B387" s="131">
        <v>479</v>
      </c>
      <c r="D387" s="120" t="s">
        <v>880</v>
      </c>
      <c r="E387" s="132" t="s">
        <v>881</v>
      </c>
    </row>
    <row r="388" spans="2:5">
      <c r="B388" s="131">
        <v>480</v>
      </c>
      <c r="D388" s="120" t="s">
        <v>882</v>
      </c>
      <c r="E388" s="132" t="s">
        <v>882</v>
      </c>
    </row>
    <row r="389" spans="2:5">
      <c r="B389" s="131">
        <v>481</v>
      </c>
      <c r="D389" s="120" t="s">
        <v>883</v>
      </c>
      <c r="E389" s="132" t="s">
        <v>884</v>
      </c>
    </row>
    <row r="390" spans="2:5" ht="24">
      <c r="B390" s="131">
        <v>482</v>
      </c>
      <c r="D390" s="120" t="s">
        <v>885</v>
      </c>
      <c r="E390" s="132" t="s">
        <v>886</v>
      </c>
    </row>
    <row r="391" spans="2:5">
      <c r="B391" s="131">
        <v>483</v>
      </c>
      <c r="D391" s="120" t="s">
        <v>887</v>
      </c>
      <c r="E391" s="132" t="s">
        <v>887</v>
      </c>
    </row>
    <row r="392" spans="2:5">
      <c r="B392" s="131">
        <v>484</v>
      </c>
      <c r="D392" s="120" t="s">
        <v>888</v>
      </c>
    </row>
    <row r="393" spans="2:5">
      <c r="B393" s="131">
        <v>485</v>
      </c>
      <c r="D393" s="120" t="s">
        <v>889</v>
      </c>
      <c r="E393" s="132" t="s">
        <v>890</v>
      </c>
    </row>
    <row r="394" spans="2:5">
      <c r="B394" s="131">
        <v>486</v>
      </c>
      <c r="D394" s="120" t="s">
        <v>891</v>
      </c>
      <c r="E394" s="132" t="s">
        <v>892</v>
      </c>
    </row>
    <row r="395" spans="2:5">
      <c r="B395" s="131">
        <v>487</v>
      </c>
      <c r="D395" s="120" t="s">
        <v>893</v>
      </c>
      <c r="E395" s="132" t="s">
        <v>894</v>
      </c>
    </row>
    <row r="396" spans="2:5">
      <c r="B396" s="131">
        <v>488</v>
      </c>
      <c r="D396" s="120" t="s">
        <v>895</v>
      </c>
      <c r="E396" s="132" t="s">
        <v>892</v>
      </c>
    </row>
    <row r="397" spans="2:5">
      <c r="B397" s="131">
        <v>489</v>
      </c>
      <c r="D397" s="120" t="s">
        <v>896</v>
      </c>
      <c r="E397" s="132" t="s">
        <v>897</v>
      </c>
    </row>
    <row r="398" spans="2:5">
      <c r="B398" s="131">
        <v>490</v>
      </c>
      <c r="D398" s="120" t="s">
        <v>898</v>
      </c>
      <c r="E398" s="132" t="s">
        <v>899</v>
      </c>
    </row>
    <row r="399" spans="2:5">
      <c r="B399" s="131">
        <v>491</v>
      </c>
      <c r="D399" s="120" t="s">
        <v>900</v>
      </c>
      <c r="E399" s="132" t="s">
        <v>901</v>
      </c>
    </row>
    <row r="400" spans="2:5">
      <c r="B400" s="131">
        <v>492</v>
      </c>
      <c r="D400" s="120" t="s">
        <v>902</v>
      </c>
      <c r="E400" s="132" t="s">
        <v>903</v>
      </c>
    </row>
    <row r="401" spans="1:6">
      <c r="B401" s="131">
        <v>493</v>
      </c>
      <c r="D401" s="120" t="s">
        <v>904</v>
      </c>
    </row>
    <row r="402" spans="1:6">
      <c r="B402" s="131">
        <v>494</v>
      </c>
      <c r="D402" s="120" t="s">
        <v>905</v>
      </c>
    </row>
    <row r="403" spans="1:6">
      <c r="B403" s="131">
        <v>495</v>
      </c>
      <c r="D403" s="120" t="s">
        <v>906</v>
      </c>
      <c r="E403" s="132" t="s">
        <v>907</v>
      </c>
    </row>
    <row r="404" spans="1:6">
      <c r="B404" s="131">
        <v>496</v>
      </c>
      <c r="D404" s="120" t="s">
        <v>908</v>
      </c>
      <c r="E404" s="132" t="s">
        <v>909</v>
      </c>
    </row>
    <row r="405" spans="1:6">
      <c r="B405" s="131">
        <v>497</v>
      </c>
      <c r="D405" s="120" t="s">
        <v>910</v>
      </c>
      <c r="E405" s="132" t="s">
        <v>911</v>
      </c>
    </row>
    <row r="406" spans="1:6">
      <c r="B406" s="131">
        <v>498</v>
      </c>
      <c r="D406" s="120" t="s">
        <v>912</v>
      </c>
      <c r="E406" s="132" t="s">
        <v>913</v>
      </c>
    </row>
    <row r="407" spans="1:6">
      <c r="B407" s="131">
        <v>499</v>
      </c>
      <c r="D407" s="120" t="s">
        <v>914</v>
      </c>
      <c r="E407" s="132" t="s">
        <v>911</v>
      </c>
    </row>
    <row r="408" spans="1:6" ht="25.5">
      <c r="A408" s="126"/>
      <c r="B408" s="131">
        <v>500</v>
      </c>
      <c r="C408" s="126"/>
      <c r="D408" s="126" t="s">
        <v>915</v>
      </c>
      <c r="E408" s="126" t="s">
        <v>916</v>
      </c>
      <c r="F408" s="127"/>
    </row>
    <row r="409" spans="1:6">
      <c r="B409" s="131">
        <v>501</v>
      </c>
      <c r="D409" s="120" t="s">
        <v>917</v>
      </c>
      <c r="E409" s="132" t="s">
        <v>917</v>
      </c>
    </row>
    <row r="410" spans="1:6">
      <c r="B410" s="131">
        <v>502</v>
      </c>
      <c r="D410" s="120" t="s">
        <v>918</v>
      </c>
      <c r="E410" s="132" t="s">
        <v>919</v>
      </c>
    </row>
    <row r="411" spans="1:6">
      <c r="B411" s="131">
        <v>503</v>
      </c>
      <c r="D411" s="120" t="s">
        <v>920</v>
      </c>
      <c r="E411" s="132" t="s">
        <v>921</v>
      </c>
    </row>
    <row r="412" spans="1:6">
      <c r="B412" s="131">
        <v>504</v>
      </c>
      <c r="D412" s="120" t="s">
        <v>922</v>
      </c>
      <c r="E412" s="132" t="s">
        <v>923</v>
      </c>
    </row>
    <row r="413" spans="1:6">
      <c r="B413" s="131">
        <v>505</v>
      </c>
      <c r="D413" s="120" t="s">
        <v>924</v>
      </c>
      <c r="E413" s="132" t="s">
        <v>925</v>
      </c>
    </row>
    <row r="414" spans="1:6">
      <c r="B414" s="131">
        <v>506</v>
      </c>
      <c r="D414" s="120" t="s">
        <v>926</v>
      </c>
      <c r="E414" s="132" t="s">
        <v>927</v>
      </c>
    </row>
    <row r="415" spans="1:6">
      <c r="B415" s="131">
        <v>507</v>
      </c>
      <c r="D415" s="120" t="s">
        <v>928</v>
      </c>
      <c r="E415" s="132" t="s">
        <v>929</v>
      </c>
    </row>
    <row r="416" spans="1:6">
      <c r="B416" s="131">
        <v>508</v>
      </c>
      <c r="D416" s="120" t="s">
        <v>930</v>
      </c>
      <c r="E416" s="132" t="s">
        <v>931</v>
      </c>
    </row>
    <row r="417" spans="1:6" ht="24">
      <c r="B417" s="131">
        <v>509</v>
      </c>
      <c r="D417" s="120" t="s">
        <v>932</v>
      </c>
      <c r="E417" s="132" t="s">
        <v>933</v>
      </c>
    </row>
    <row r="418" spans="1:6">
      <c r="B418" s="131">
        <v>510</v>
      </c>
      <c r="D418" s="120" t="s">
        <v>934</v>
      </c>
      <c r="E418" s="132" t="s">
        <v>929</v>
      </c>
    </row>
    <row r="419" spans="1:6">
      <c r="B419" s="131">
        <v>511</v>
      </c>
      <c r="D419" s="120" t="s">
        <v>935</v>
      </c>
      <c r="E419" s="132" t="s">
        <v>936</v>
      </c>
    </row>
    <row r="420" spans="1:6">
      <c r="B420" s="131">
        <v>512</v>
      </c>
      <c r="D420" s="120" t="s">
        <v>937</v>
      </c>
      <c r="E420" s="132" t="s">
        <v>938</v>
      </c>
    </row>
    <row r="421" spans="1:6">
      <c r="B421" s="131">
        <v>513</v>
      </c>
      <c r="D421" s="120" t="s">
        <v>939</v>
      </c>
      <c r="E421" s="132" t="s">
        <v>940</v>
      </c>
    </row>
    <row r="422" spans="1:6" s="126" customFormat="1" ht="12.75">
      <c r="A422" s="119"/>
      <c r="B422" s="131">
        <v>514</v>
      </c>
      <c r="C422" s="128"/>
      <c r="D422" s="120" t="s">
        <v>941</v>
      </c>
      <c r="E422" s="132" t="s">
        <v>942</v>
      </c>
      <c r="F422" s="119"/>
    </row>
    <row r="423" spans="1:6" s="126" customFormat="1" ht="12.75">
      <c r="A423" s="119"/>
      <c r="B423" s="131">
        <v>515</v>
      </c>
      <c r="C423" s="128"/>
      <c r="D423" s="120" t="s">
        <v>943</v>
      </c>
      <c r="E423" s="132" t="s">
        <v>944</v>
      </c>
      <c r="F423" s="119"/>
    </row>
    <row r="424" spans="1:6" s="122" customFormat="1">
      <c r="A424" s="119"/>
      <c r="B424" s="131">
        <v>516</v>
      </c>
      <c r="C424" s="128"/>
      <c r="D424" s="120" t="s">
        <v>945</v>
      </c>
      <c r="E424" s="132" t="s">
        <v>927</v>
      </c>
      <c r="F424" s="119"/>
    </row>
    <row r="425" spans="1:6" s="122" customFormat="1" ht="24">
      <c r="A425" s="119"/>
      <c r="B425" s="131">
        <v>517</v>
      </c>
      <c r="C425" s="128"/>
      <c r="D425" s="120" t="s">
        <v>946</v>
      </c>
      <c r="E425" s="132" t="s">
        <v>947</v>
      </c>
      <c r="F425" s="119"/>
    </row>
    <row r="426" spans="1:6" s="122" customFormat="1" ht="36">
      <c r="A426" s="119"/>
      <c r="B426" s="131">
        <v>518</v>
      </c>
      <c r="C426" s="128"/>
      <c r="D426" s="120" t="s">
        <v>948</v>
      </c>
      <c r="E426" s="132" t="s">
        <v>949</v>
      </c>
      <c r="F426" s="119"/>
    </row>
    <row r="427" spans="1:6" s="122" customFormat="1">
      <c r="A427" s="119"/>
      <c r="B427" s="131">
        <v>519</v>
      </c>
      <c r="C427" s="128"/>
      <c r="D427" s="120" t="s">
        <v>950</v>
      </c>
      <c r="E427" s="132" t="s">
        <v>951</v>
      </c>
      <c r="F427" s="119"/>
    </row>
    <row r="428" spans="1:6" s="122" customFormat="1" ht="36">
      <c r="A428" s="119"/>
      <c r="B428" s="131">
        <v>520</v>
      </c>
      <c r="C428" s="128"/>
      <c r="D428" s="120" t="s">
        <v>952</v>
      </c>
      <c r="E428" s="132" t="s">
        <v>953</v>
      </c>
      <c r="F428" s="119"/>
    </row>
    <row r="429" spans="1:6" s="122" customFormat="1">
      <c r="A429" s="119"/>
      <c r="B429" s="131">
        <v>521</v>
      </c>
      <c r="C429" s="128"/>
      <c r="D429" s="120" t="s">
        <v>954</v>
      </c>
      <c r="E429" s="132" t="s">
        <v>955</v>
      </c>
      <c r="F429" s="119"/>
    </row>
    <row r="430" spans="1:6" s="122" customFormat="1">
      <c r="A430" s="119"/>
      <c r="B430" s="131">
        <v>522</v>
      </c>
      <c r="C430" s="128"/>
      <c r="D430" s="120" t="s">
        <v>956</v>
      </c>
      <c r="E430" s="132" t="s">
        <v>957</v>
      </c>
      <c r="F430" s="119"/>
    </row>
    <row r="431" spans="1:6" s="122" customFormat="1">
      <c r="A431" s="119"/>
      <c r="B431" s="131">
        <v>523</v>
      </c>
      <c r="C431" s="128"/>
      <c r="D431" s="120" t="s">
        <v>958</v>
      </c>
      <c r="E431" s="132" t="s">
        <v>959</v>
      </c>
      <c r="F431" s="119"/>
    </row>
    <row r="432" spans="1:6" s="122" customFormat="1">
      <c r="A432" s="119"/>
      <c r="B432" s="131">
        <v>524</v>
      </c>
      <c r="C432" s="128"/>
      <c r="D432" s="120" t="s">
        <v>960</v>
      </c>
      <c r="E432" s="132" t="s">
        <v>961</v>
      </c>
      <c r="F432" s="119"/>
    </row>
    <row r="433" spans="1:6" s="122" customFormat="1">
      <c r="A433" s="119"/>
      <c r="B433" s="131">
        <v>525</v>
      </c>
      <c r="C433" s="128"/>
      <c r="D433" s="120" t="s">
        <v>962</v>
      </c>
      <c r="E433" s="132" t="s">
        <v>963</v>
      </c>
      <c r="F433" s="119"/>
    </row>
    <row r="434" spans="1:6" s="122" customFormat="1">
      <c r="A434" s="119"/>
      <c r="B434" s="131">
        <v>526</v>
      </c>
      <c r="C434" s="128"/>
      <c r="D434" s="120" t="s">
        <v>964</v>
      </c>
      <c r="E434" s="132" t="s">
        <v>965</v>
      </c>
      <c r="F434" s="119"/>
    </row>
    <row r="435" spans="1:6">
      <c r="B435" s="131">
        <v>527</v>
      </c>
      <c r="D435" s="120" t="s">
        <v>966</v>
      </c>
      <c r="E435" s="132" t="s">
        <v>967</v>
      </c>
    </row>
  </sheetData>
  <sortState xmlns:xlrd2="http://schemas.microsoft.com/office/spreadsheetml/2017/richdata2" ref="A9:F434">
    <sortCondition ref="E9:E434"/>
  </sortState>
  <phoneticPr fontId="2"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3"/>
  <dimension ref="A1:H121"/>
  <sheetViews>
    <sheetView topLeftCell="A94" zoomScale="85" zoomScaleNormal="85" workbookViewId="0">
      <selection activeCell="H177" sqref="H177"/>
    </sheetView>
  </sheetViews>
  <sheetFormatPr defaultColWidth="9.75" defaultRowHeight="14.25"/>
  <cols>
    <col min="1" max="1" width="9.75" style="90"/>
    <col min="2" max="2" width="9.75" style="91"/>
    <col min="3" max="4" width="9.75" style="92"/>
    <col min="5" max="5" width="9.75" style="91"/>
    <col min="6" max="16384" width="9.75" style="89"/>
  </cols>
  <sheetData>
    <row r="1" spans="1:8">
      <c r="A1" s="87" t="s">
        <v>968</v>
      </c>
      <c r="B1" s="87" t="s">
        <v>969</v>
      </c>
      <c r="C1" s="88" t="s">
        <v>970</v>
      </c>
      <c r="D1" s="88" t="s">
        <v>971</v>
      </c>
      <c r="E1" s="87" t="s">
        <v>972</v>
      </c>
      <c r="F1" s="87" t="s">
        <v>973</v>
      </c>
      <c r="G1" s="87" t="s">
        <v>974</v>
      </c>
      <c r="H1" s="87" t="s">
        <v>975</v>
      </c>
    </row>
    <row r="2" spans="1:8">
      <c r="A2" s="90" t="s">
        <v>976</v>
      </c>
      <c r="B2" s="91" t="s">
        <v>977</v>
      </c>
      <c r="C2" s="92" t="s">
        <v>978</v>
      </c>
      <c r="D2" s="92">
        <v>43375</v>
      </c>
      <c r="E2" s="93">
        <v>43376</v>
      </c>
      <c r="F2" s="92">
        <v>43375</v>
      </c>
      <c r="G2" s="92">
        <v>43379</v>
      </c>
      <c r="H2" s="89">
        <v>1</v>
      </c>
    </row>
    <row r="3" spans="1:8">
      <c r="A3" s="90" t="s">
        <v>979</v>
      </c>
      <c r="B3" s="91" t="s">
        <v>980</v>
      </c>
      <c r="C3" s="92" t="s">
        <v>978</v>
      </c>
      <c r="D3" s="92">
        <v>43379</v>
      </c>
      <c r="E3" s="93">
        <v>43385</v>
      </c>
      <c r="F3" s="92">
        <v>43375</v>
      </c>
      <c r="G3" s="92">
        <v>43379</v>
      </c>
      <c r="H3" s="89">
        <v>0</v>
      </c>
    </row>
    <row r="4" spans="1:8">
      <c r="A4" s="90" t="s">
        <v>979</v>
      </c>
      <c r="B4" s="91" t="s">
        <v>980</v>
      </c>
      <c r="C4" s="92" t="s">
        <v>981</v>
      </c>
      <c r="D4" s="92">
        <v>43379</v>
      </c>
      <c r="E4" s="93">
        <v>43385</v>
      </c>
      <c r="F4" s="92">
        <v>43375</v>
      </c>
      <c r="G4" s="92">
        <v>43379</v>
      </c>
      <c r="H4" s="89">
        <v>0</v>
      </c>
    </row>
    <row r="5" spans="1:8">
      <c r="A5" s="90" t="s">
        <v>979</v>
      </c>
      <c r="B5" s="91" t="s">
        <v>980</v>
      </c>
      <c r="C5" s="92" t="s">
        <v>982</v>
      </c>
      <c r="D5" s="92">
        <v>43379</v>
      </c>
      <c r="E5" s="93">
        <v>43385</v>
      </c>
      <c r="F5" s="92">
        <v>43375</v>
      </c>
      <c r="G5" s="92">
        <v>43379</v>
      </c>
      <c r="H5" s="89">
        <v>0</v>
      </c>
    </row>
    <row r="6" spans="1:8">
      <c r="A6" s="90" t="s">
        <v>979</v>
      </c>
      <c r="B6" s="91" t="s">
        <v>980</v>
      </c>
      <c r="C6" s="92" t="s">
        <v>978</v>
      </c>
      <c r="D6" s="92">
        <v>43379</v>
      </c>
      <c r="E6" s="93">
        <v>43385</v>
      </c>
      <c r="F6" s="92">
        <v>43380</v>
      </c>
      <c r="G6" s="92">
        <v>43386</v>
      </c>
      <c r="H6" s="89">
        <v>1.3333333333333333</v>
      </c>
    </row>
    <row r="7" spans="1:8">
      <c r="A7" s="90" t="s">
        <v>979</v>
      </c>
      <c r="B7" s="91" t="s">
        <v>980</v>
      </c>
      <c r="C7" s="92" t="s">
        <v>981</v>
      </c>
      <c r="D7" s="92">
        <v>43379</v>
      </c>
      <c r="E7" s="93">
        <v>43385</v>
      </c>
      <c r="F7" s="92">
        <v>43380</v>
      </c>
      <c r="G7" s="92">
        <v>43386</v>
      </c>
      <c r="H7" s="89">
        <v>1.3333333333333333</v>
      </c>
    </row>
    <row r="8" spans="1:8">
      <c r="A8" s="90" t="s">
        <v>979</v>
      </c>
      <c r="B8" s="91" t="s">
        <v>980</v>
      </c>
      <c r="C8" s="92" t="s">
        <v>982</v>
      </c>
      <c r="D8" s="92">
        <v>43379</v>
      </c>
      <c r="E8" s="93">
        <v>43385</v>
      </c>
      <c r="F8" s="92">
        <v>43380</v>
      </c>
      <c r="G8" s="92">
        <v>43386</v>
      </c>
      <c r="H8" s="89">
        <v>1.3333333333333333</v>
      </c>
    </row>
    <row r="9" spans="1:8">
      <c r="A9" s="90" t="s">
        <v>983</v>
      </c>
      <c r="B9" s="91" t="s">
        <v>984</v>
      </c>
      <c r="C9" s="92" t="s">
        <v>978</v>
      </c>
      <c r="D9" s="92">
        <v>43397</v>
      </c>
      <c r="E9" s="93">
        <v>43397</v>
      </c>
      <c r="F9" s="92">
        <v>43394</v>
      </c>
      <c r="G9" s="92">
        <v>43400</v>
      </c>
      <c r="H9" s="89">
        <v>1</v>
      </c>
    </row>
    <row r="10" spans="1:8">
      <c r="A10" s="90" t="s">
        <v>985</v>
      </c>
      <c r="B10" s="91" t="s">
        <v>986</v>
      </c>
      <c r="C10" s="92" t="s">
        <v>981</v>
      </c>
      <c r="D10" s="92">
        <v>43400</v>
      </c>
      <c r="E10" s="93">
        <v>43404</v>
      </c>
      <c r="F10" s="92">
        <v>43394</v>
      </c>
      <c r="G10" s="92">
        <v>43400</v>
      </c>
      <c r="H10" s="89">
        <v>0</v>
      </c>
    </row>
    <row r="11" spans="1:8">
      <c r="A11" s="90" t="s">
        <v>985</v>
      </c>
      <c r="B11" s="91" t="s">
        <v>986</v>
      </c>
      <c r="C11" s="92" t="s">
        <v>981</v>
      </c>
      <c r="D11" s="92">
        <v>43400</v>
      </c>
      <c r="E11" s="93">
        <v>43404</v>
      </c>
      <c r="F11" s="92">
        <v>43401</v>
      </c>
      <c r="G11" s="92">
        <v>43407</v>
      </c>
      <c r="H11" s="89">
        <v>3</v>
      </c>
    </row>
    <row r="12" spans="1:8">
      <c r="A12" s="90" t="s">
        <v>987</v>
      </c>
      <c r="B12" s="91" t="s">
        <v>988</v>
      </c>
      <c r="C12" s="92" t="s">
        <v>981</v>
      </c>
      <c r="D12" s="92">
        <v>43432</v>
      </c>
      <c r="E12" s="93">
        <v>43432</v>
      </c>
      <c r="F12" s="92">
        <v>43429</v>
      </c>
      <c r="G12" s="92">
        <v>43435</v>
      </c>
      <c r="H12" s="89">
        <v>1</v>
      </c>
    </row>
    <row r="13" spans="1:8">
      <c r="A13" s="90" t="s">
        <v>989</v>
      </c>
      <c r="B13" s="91" t="s">
        <v>990</v>
      </c>
      <c r="C13" s="92" t="s">
        <v>991</v>
      </c>
      <c r="D13" s="92">
        <v>43468</v>
      </c>
      <c r="E13" s="93">
        <v>43493</v>
      </c>
      <c r="F13" s="92">
        <v>43464</v>
      </c>
      <c r="G13" s="92">
        <v>43470</v>
      </c>
      <c r="H13" s="89">
        <v>2</v>
      </c>
    </row>
    <row r="14" spans="1:8">
      <c r="A14" s="90" t="s">
        <v>989</v>
      </c>
      <c r="B14" s="91" t="s">
        <v>990</v>
      </c>
      <c r="C14" s="92" t="s">
        <v>991</v>
      </c>
      <c r="D14" s="92">
        <v>43468</v>
      </c>
      <c r="E14" s="93">
        <v>43493</v>
      </c>
      <c r="F14" s="92">
        <v>43471</v>
      </c>
      <c r="G14" s="92">
        <v>43477</v>
      </c>
      <c r="H14" s="89">
        <v>5</v>
      </c>
    </row>
    <row r="15" spans="1:8">
      <c r="A15" s="90" t="s">
        <v>989</v>
      </c>
      <c r="B15" s="91" t="s">
        <v>990</v>
      </c>
      <c r="C15" s="92" t="s">
        <v>991</v>
      </c>
      <c r="D15" s="92">
        <v>43468</v>
      </c>
      <c r="E15" s="93">
        <v>43493</v>
      </c>
      <c r="F15" s="92">
        <v>43478</v>
      </c>
      <c r="G15" s="92">
        <v>43484</v>
      </c>
      <c r="H15" s="89">
        <v>5</v>
      </c>
    </row>
    <row r="16" spans="1:8">
      <c r="A16" s="90" t="s">
        <v>989</v>
      </c>
      <c r="B16" s="91" t="s">
        <v>990</v>
      </c>
      <c r="C16" s="92" t="s">
        <v>991</v>
      </c>
      <c r="D16" s="92">
        <v>43468</v>
      </c>
      <c r="E16" s="93">
        <v>43493</v>
      </c>
      <c r="F16" s="92">
        <v>43485</v>
      </c>
      <c r="G16" s="92">
        <v>43491</v>
      </c>
      <c r="H16" s="89">
        <v>5</v>
      </c>
    </row>
    <row r="17" spans="1:8">
      <c r="A17" s="90" t="s">
        <v>989</v>
      </c>
      <c r="B17" s="91" t="s">
        <v>990</v>
      </c>
      <c r="C17" s="92" t="s">
        <v>991</v>
      </c>
      <c r="D17" s="92">
        <v>43468</v>
      </c>
      <c r="E17" s="93">
        <v>43493</v>
      </c>
      <c r="F17" s="92">
        <v>43492</v>
      </c>
      <c r="G17" s="92">
        <v>43498</v>
      </c>
      <c r="H17" s="89">
        <v>1</v>
      </c>
    </row>
    <row r="18" spans="1:8">
      <c r="A18" s="90" t="s">
        <v>992</v>
      </c>
      <c r="B18" s="91" t="s">
        <v>993</v>
      </c>
      <c r="C18" s="92" t="s">
        <v>991</v>
      </c>
      <c r="D18" s="92">
        <v>43397</v>
      </c>
      <c r="E18" s="93">
        <v>43397</v>
      </c>
      <c r="F18" s="92">
        <v>43394</v>
      </c>
      <c r="G18" s="92">
        <v>43400</v>
      </c>
      <c r="H18" s="89">
        <v>1</v>
      </c>
    </row>
    <row r="19" spans="1:8">
      <c r="A19" s="90" t="s">
        <v>994</v>
      </c>
      <c r="B19" s="91" t="s">
        <v>995</v>
      </c>
      <c r="C19" s="92" t="s">
        <v>978</v>
      </c>
      <c r="D19" s="92">
        <v>43501</v>
      </c>
      <c r="E19" s="93">
        <v>43505</v>
      </c>
      <c r="F19" s="92">
        <v>43499</v>
      </c>
      <c r="G19" s="92">
        <v>43505</v>
      </c>
      <c r="H19" s="89">
        <v>2</v>
      </c>
    </row>
    <row r="20" spans="1:8">
      <c r="A20" s="90" t="s">
        <v>996</v>
      </c>
      <c r="B20" s="91" t="s">
        <v>997</v>
      </c>
      <c r="C20" s="92" t="s">
        <v>978</v>
      </c>
      <c r="D20" s="92">
        <v>43508</v>
      </c>
      <c r="E20" s="93">
        <v>43526</v>
      </c>
      <c r="F20" s="92">
        <v>43506</v>
      </c>
      <c r="G20" s="92">
        <v>43512</v>
      </c>
      <c r="H20" s="89">
        <v>4</v>
      </c>
    </row>
    <row r="21" spans="1:8">
      <c r="A21" s="90" t="s">
        <v>996</v>
      </c>
      <c r="B21" s="91" t="s">
        <v>997</v>
      </c>
      <c r="C21" s="92" t="s">
        <v>978</v>
      </c>
      <c r="D21" s="92">
        <v>43508</v>
      </c>
      <c r="E21" s="93">
        <v>43526</v>
      </c>
      <c r="F21" s="92">
        <v>43513</v>
      </c>
      <c r="G21" s="92">
        <v>43519</v>
      </c>
      <c r="H21" s="89">
        <v>5</v>
      </c>
    </row>
    <row r="22" spans="1:8">
      <c r="A22" s="90" t="s">
        <v>996</v>
      </c>
      <c r="B22" s="91" t="s">
        <v>997</v>
      </c>
      <c r="C22" s="92" t="s">
        <v>978</v>
      </c>
      <c r="D22" s="92">
        <v>43508</v>
      </c>
      <c r="E22" s="93">
        <v>43526</v>
      </c>
      <c r="F22" s="92">
        <v>43520</v>
      </c>
      <c r="G22" s="92">
        <v>43526</v>
      </c>
      <c r="H22" s="89">
        <v>4</v>
      </c>
    </row>
    <row r="23" spans="1:8">
      <c r="A23" s="90" t="s">
        <v>998</v>
      </c>
      <c r="B23" s="91" t="s">
        <v>999</v>
      </c>
      <c r="C23" s="92" t="s">
        <v>978</v>
      </c>
      <c r="D23" s="92">
        <v>43526</v>
      </c>
      <c r="E23" s="93">
        <v>43526</v>
      </c>
      <c r="F23" s="92">
        <v>43520</v>
      </c>
      <c r="G23" s="92">
        <v>43526</v>
      </c>
      <c r="H23" s="89">
        <v>0</v>
      </c>
    </row>
    <row r="24" spans="1:8">
      <c r="A24" s="90" t="s">
        <v>1000</v>
      </c>
      <c r="B24" s="91" t="s">
        <v>1001</v>
      </c>
      <c r="C24" s="92" t="s">
        <v>978</v>
      </c>
      <c r="D24" s="92">
        <v>43526</v>
      </c>
      <c r="E24" s="93">
        <v>43526</v>
      </c>
      <c r="F24" s="92">
        <v>43520</v>
      </c>
      <c r="G24" s="92">
        <v>43526</v>
      </c>
      <c r="H24" s="89">
        <v>0</v>
      </c>
    </row>
    <row r="25" spans="1:8">
      <c r="A25" s="90" t="s">
        <v>1002</v>
      </c>
      <c r="B25" s="91" t="s">
        <v>1003</v>
      </c>
      <c r="C25" s="92" t="s">
        <v>1004</v>
      </c>
      <c r="D25" s="92">
        <v>43379</v>
      </c>
      <c r="E25" s="93">
        <v>43397</v>
      </c>
      <c r="F25" s="92">
        <v>43375</v>
      </c>
      <c r="G25" s="92">
        <v>43379</v>
      </c>
      <c r="H25" s="89">
        <v>0</v>
      </c>
    </row>
    <row r="26" spans="1:8">
      <c r="A26" s="90" t="s">
        <v>1002</v>
      </c>
      <c r="B26" s="91" t="s">
        <v>1003</v>
      </c>
      <c r="C26" s="92" t="s">
        <v>1005</v>
      </c>
      <c r="D26" s="92">
        <v>43379</v>
      </c>
      <c r="E26" s="93">
        <v>43397</v>
      </c>
      <c r="F26" s="92">
        <v>43375</v>
      </c>
      <c r="G26" s="92">
        <v>43379</v>
      </c>
      <c r="H26" s="89">
        <v>0</v>
      </c>
    </row>
    <row r="27" spans="1:8">
      <c r="A27" s="90" t="s">
        <v>1002</v>
      </c>
      <c r="B27" s="91" t="s">
        <v>1003</v>
      </c>
      <c r="C27" s="92" t="s">
        <v>1006</v>
      </c>
      <c r="D27" s="92">
        <v>43379</v>
      </c>
      <c r="E27" s="93">
        <v>43397</v>
      </c>
      <c r="F27" s="92">
        <v>43375</v>
      </c>
      <c r="G27" s="92">
        <v>43379</v>
      </c>
      <c r="H27" s="89">
        <v>0</v>
      </c>
    </row>
    <row r="28" spans="1:8">
      <c r="A28" s="90" t="s">
        <v>1002</v>
      </c>
      <c r="B28" s="91" t="s">
        <v>1003</v>
      </c>
      <c r="C28" s="92" t="s">
        <v>1004</v>
      </c>
      <c r="D28" s="92">
        <v>43379</v>
      </c>
      <c r="E28" s="93">
        <v>43397</v>
      </c>
      <c r="F28" s="92">
        <v>43380</v>
      </c>
      <c r="G28" s="92">
        <v>43386</v>
      </c>
      <c r="H28" s="89">
        <v>1.3333333333333333</v>
      </c>
    </row>
    <row r="29" spans="1:8">
      <c r="A29" s="90" t="s">
        <v>1002</v>
      </c>
      <c r="B29" s="91" t="s">
        <v>1003</v>
      </c>
      <c r="C29" s="92" t="s">
        <v>1005</v>
      </c>
      <c r="D29" s="92">
        <v>43379</v>
      </c>
      <c r="E29" s="93">
        <v>43397</v>
      </c>
      <c r="F29" s="92">
        <v>43380</v>
      </c>
      <c r="G29" s="92">
        <v>43386</v>
      </c>
      <c r="H29" s="89">
        <v>1.3333333333333333</v>
      </c>
    </row>
    <row r="30" spans="1:8">
      <c r="A30" s="90" t="s">
        <v>1002</v>
      </c>
      <c r="B30" s="91" t="s">
        <v>1003</v>
      </c>
      <c r="C30" s="92" t="s">
        <v>1006</v>
      </c>
      <c r="D30" s="92">
        <v>43379</v>
      </c>
      <c r="E30" s="93">
        <v>43397</v>
      </c>
      <c r="F30" s="92">
        <v>43380</v>
      </c>
      <c r="G30" s="92">
        <v>43386</v>
      </c>
      <c r="H30" s="89">
        <v>1.3333333333333333</v>
      </c>
    </row>
    <row r="31" spans="1:8">
      <c r="A31" s="90" t="s">
        <v>1002</v>
      </c>
      <c r="B31" s="91" t="s">
        <v>1003</v>
      </c>
      <c r="C31" s="92" t="s">
        <v>1004</v>
      </c>
      <c r="D31" s="92">
        <v>43379</v>
      </c>
      <c r="E31" s="93">
        <v>43397</v>
      </c>
      <c r="F31" s="92">
        <v>43387</v>
      </c>
      <c r="G31" s="92">
        <v>43393</v>
      </c>
      <c r="H31" s="89">
        <v>1.6666666666666667</v>
      </c>
    </row>
    <row r="32" spans="1:8">
      <c r="A32" s="90" t="s">
        <v>1002</v>
      </c>
      <c r="B32" s="91" t="s">
        <v>1003</v>
      </c>
      <c r="C32" s="92" t="s">
        <v>1005</v>
      </c>
      <c r="D32" s="92">
        <v>43379</v>
      </c>
      <c r="E32" s="93">
        <v>43397</v>
      </c>
      <c r="F32" s="92">
        <v>43387</v>
      </c>
      <c r="G32" s="92">
        <v>43393</v>
      </c>
      <c r="H32" s="89">
        <v>1.6666666666666667</v>
      </c>
    </row>
    <row r="33" spans="1:8">
      <c r="A33" s="90" t="s">
        <v>1002</v>
      </c>
      <c r="B33" s="91" t="s">
        <v>1003</v>
      </c>
      <c r="C33" s="92" t="s">
        <v>1006</v>
      </c>
      <c r="D33" s="92">
        <v>43379</v>
      </c>
      <c r="E33" s="93">
        <v>43397</v>
      </c>
      <c r="F33" s="92">
        <v>43387</v>
      </c>
      <c r="G33" s="92">
        <v>43393</v>
      </c>
      <c r="H33" s="89">
        <v>1.6666666666666667</v>
      </c>
    </row>
    <row r="34" spans="1:8">
      <c r="A34" s="90" t="s">
        <v>1002</v>
      </c>
      <c r="B34" s="91" t="s">
        <v>1003</v>
      </c>
      <c r="C34" s="92" t="s">
        <v>1004</v>
      </c>
      <c r="D34" s="92">
        <v>43379</v>
      </c>
      <c r="E34" s="93">
        <v>43397</v>
      </c>
      <c r="F34" s="92">
        <v>43394</v>
      </c>
      <c r="G34" s="92">
        <v>43400</v>
      </c>
      <c r="H34" s="89">
        <v>1</v>
      </c>
    </row>
    <row r="35" spans="1:8">
      <c r="A35" s="90" t="s">
        <v>1002</v>
      </c>
      <c r="B35" s="91" t="s">
        <v>1003</v>
      </c>
      <c r="C35" s="92" t="s">
        <v>1005</v>
      </c>
      <c r="D35" s="92">
        <v>43379</v>
      </c>
      <c r="E35" s="93">
        <v>43397</v>
      </c>
      <c r="F35" s="92">
        <v>43394</v>
      </c>
      <c r="G35" s="92">
        <v>43400</v>
      </c>
      <c r="H35" s="89">
        <v>1</v>
      </c>
    </row>
    <row r="36" spans="1:8">
      <c r="A36" s="90" t="s">
        <v>1002</v>
      </c>
      <c r="B36" s="91" t="s">
        <v>1003</v>
      </c>
      <c r="C36" s="92" t="s">
        <v>1006</v>
      </c>
      <c r="D36" s="92">
        <v>43379</v>
      </c>
      <c r="E36" s="93">
        <v>43397</v>
      </c>
      <c r="F36" s="92">
        <v>43394</v>
      </c>
      <c r="G36" s="92">
        <v>43400</v>
      </c>
      <c r="H36" s="89">
        <v>1</v>
      </c>
    </row>
    <row r="37" spans="1:8">
      <c r="A37" s="90" t="s">
        <v>1007</v>
      </c>
      <c r="B37" s="91" t="s">
        <v>1008</v>
      </c>
      <c r="C37" s="92" t="s">
        <v>1005</v>
      </c>
      <c r="D37" s="92">
        <v>43385</v>
      </c>
      <c r="E37" s="93">
        <v>43396</v>
      </c>
      <c r="F37" s="92">
        <v>43380</v>
      </c>
      <c r="G37" s="92">
        <v>43386</v>
      </c>
      <c r="H37" s="89">
        <v>1</v>
      </c>
    </row>
    <row r="38" spans="1:8">
      <c r="A38" s="90" t="s">
        <v>1007</v>
      </c>
      <c r="B38" s="91" t="s">
        <v>1008</v>
      </c>
      <c r="C38" s="92" t="s">
        <v>1005</v>
      </c>
      <c r="D38" s="92">
        <v>43385</v>
      </c>
      <c r="E38" s="93">
        <v>43396</v>
      </c>
      <c r="F38" s="92">
        <v>43387</v>
      </c>
      <c r="G38" s="92">
        <v>43393</v>
      </c>
      <c r="H38" s="89">
        <v>5</v>
      </c>
    </row>
    <row r="39" spans="1:8">
      <c r="A39" s="90" t="s">
        <v>1007</v>
      </c>
      <c r="B39" s="91" t="s">
        <v>1008</v>
      </c>
      <c r="C39" s="92" t="s">
        <v>1005</v>
      </c>
      <c r="D39" s="92">
        <v>43385</v>
      </c>
      <c r="E39" s="93">
        <v>43396</v>
      </c>
      <c r="F39" s="92">
        <v>43394</v>
      </c>
      <c r="G39" s="92">
        <v>43400</v>
      </c>
      <c r="H39" s="89">
        <v>2</v>
      </c>
    </row>
    <row r="40" spans="1:8">
      <c r="A40" s="90" t="s">
        <v>1009</v>
      </c>
      <c r="B40" s="91" t="s">
        <v>1010</v>
      </c>
      <c r="C40" s="92" t="s">
        <v>1005</v>
      </c>
      <c r="D40" s="92">
        <v>43385</v>
      </c>
      <c r="E40" s="93">
        <v>43396</v>
      </c>
      <c r="F40" s="92">
        <v>43380</v>
      </c>
      <c r="G40" s="92">
        <v>43386</v>
      </c>
      <c r="H40" s="89">
        <v>1</v>
      </c>
    </row>
    <row r="41" spans="1:8">
      <c r="A41" s="90" t="s">
        <v>1009</v>
      </c>
      <c r="B41" s="91" t="s">
        <v>1010</v>
      </c>
      <c r="C41" s="92" t="s">
        <v>1005</v>
      </c>
      <c r="D41" s="92">
        <v>43385</v>
      </c>
      <c r="E41" s="93">
        <v>43396</v>
      </c>
      <c r="F41" s="92">
        <v>43387</v>
      </c>
      <c r="G41" s="92">
        <v>43393</v>
      </c>
      <c r="H41" s="89">
        <v>5</v>
      </c>
    </row>
    <row r="42" spans="1:8">
      <c r="A42" s="90" t="s">
        <v>1009</v>
      </c>
      <c r="B42" s="91" t="s">
        <v>1010</v>
      </c>
      <c r="C42" s="92" t="s">
        <v>1005</v>
      </c>
      <c r="D42" s="92">
        <v>43385</v>
      </c>
      <c r="E42" s="93">
        <v>43396</v>
      </c>
      <c r="F42" s="92">
        <v>43394</v>
      </c>
      <c r="G42" s="92">
        <v>43400</v>
      </c>
      <c r="H42" s="89">
        <v>2</v>
      </c>
    </row>
    <row r="43" spans="1:8">
      <c r="A43" s="90" t="s">
        <v>1011</v>
      </c>
      <c r="B43" s="91" t="s">
        <v>1012</v>
      </c>
      <c r="C43" s="92" t="s">
        <v>1013</v>
      </c>
      <c r="D43" s="92">
        <v>43399</v>
      </c>
      <c r="E43" s="93">
        <v>43417</v>
      </c>
      <c r="F43" s="92">
        <v>43394</v>
      </c>
      <c r="G43" s="92">
        <v>43400</v>
      </c>
      <c r="H43" s="89">
        <v>1</v>
      </c>
    </row>
    <row r="44" spans="1:8">
      <c r="A44" s="90" t="s">
        <v>1011</v>
      </c>
      <c r="B44" s="91" t="s">
        <v>1012</v>
      </c>
      <c r="C44" s="92" t="s">
        <v>1013</v>
      </c>
      <c r="D44" s="92">
        <v>43399</v>
      </c>
      <c r="E44" s="93">
        <v>43417</v>
      </c>
      <c r="F44" s="92">
        <v>43401</v>
      </c>
      <c r="G44" s="92">
        <v>43407</v>
      </c>
      <c r="H44" s="89">
        <v>5</v>
      </c>
    </row>
    <row r="45" spans="1:8">
      <c r="A45" s="90" t="s">
        <v>1011</v>
      </c>
      <c r="B45" s="91" t="s">
        <v>1012</v>
      </c>
      <c r="C45" s="92" t="s">
        <v>1013</v>
      </c>
      <c r="D45" s="92">
        <v>43399</v>
      </c>
      <c r="E45" s="93">
        <v>43417</v>
      </c>
      <c r="F45" s="92">
        <v>43408</v>
      </c>
      <c r="G45" s="92">
        <v>43414</v>
      </c>
      <c r="H45" s="89">
        <v>5</v>
      </c>
    </row>
    <row r="46" spans="1:8">
      <c r="A46" s="90" t="s">
        <v>1011</v>
      </c>
      <c r="B46" s="91" t="s">
        <v>1012</v>
      </c>
      <c r="C46" s="92" t="s">
        <v>1013</v>
      </c>
      <c r="D46" s="92">
        <v>43399</v>
      </c>
      <c r="E46" s="93">
        <v>43417</v>
      </c>
      <c r="F46" s="92">
        <v>43415</v>
      </c>
      <c r="G46" s="92">
        <v>43421</v>
      </c>
      <c r="H46" s="89">
        <v>2</v>
      </c>
    </row>
    <row r="47" spans="1:8">
      <c r="A47" s="90" t="s">
        <v>1014</v>
      </c>
      <c r="B47" s="91" t="s">
        <v>1015</v>
      </c>
      <c r="C47" s="92" t="s">
        <v>1016</v>
      </c>
      <c r="D47" s="92">
        <v>43406</v>
      </c>
      <c r="E47" s="93">
        <v>43417</v>
      </c>
      <c r="F47" s="92">
        <v>43401</v>
      </c>
      <c r="G47" s="92">
        <v>43407</v>
      </c>
      <c r="H47" s="89">
        <v>1</v>
      </c>
    </row>
    <row r="48" spans="1:8">
      <c r="A48" s="90" t="s">
        <v>1014</v>
      </c>
      <c r="B48" s="91" t="s">
        <v>1015</v>
      </c>
      <c r="C48" s="92" t="s">
        <v>1016</v>
      </c>
      <c r="D48" s="92">
        <v>43406</v>
      </c>
      <c r="E48" s="93">
        <v>43417</v>
      </c>
      <c r="F48" s="92">
        <v>43408</v>
      </c>
      <c r="G48" s="92">
        <v>43414</v>
      </c>
      <c r="H48" s="89">
        <v>5</v>
      </c>
    </row>
    <row r="49" spans="1:8">
      <c r="A49" s="90" t="s">
        <v>1014</v>
      </c>
      <c r="B49" s="91" t="s">
        <v>1015</v>
      </c>
      <c r="C49" s="92" t="s">
        <v>1016</v>
      </c>
      <c r="D49" s="92">
        <v>43406</v>
      </c>
      <c r="E49" s="93">
        <v>43417</v>
      </c>
      <c r="F49" s="92">
        <v>43415</v>
      </c>
      <c r="G49" s="92">
        <v>43421</v>
      </c>
      <c r="H49" s="89">
        <v>2</v>
      </c>
    </row>
    <row r="50" spans="1:8">
      <c r="A50" s="90" t="s">
        <v>1017</v>
      </c>
      <c r="B50" s="91" t="s">
        <v>1018</v>
      </c>
      <c r="C50" s="92" t="s">
        <v>1019</v>
      </c>
      <c r="D50" s="92">
        <v>43413</v>
      </c>
      <c r="E50" s="93">
        <v>43424</v>
      </c>
      <c r="F50" s="92">
        <v>43408</v>
      </c>
      <c r="G50" s="92">
        <v>43414</v>
      </c>
      <c r="H50" s="89">
        <v>1</v>
      </c>
    </row>
    <row r="51" spans="1:8">
      <c r="A51" s="90" t="s">
        <v>1017</v>
      </c>
      <c r="B51" s="91" t="s">
        <v>1018</v>
      </c>
      <c r="C51" s="92" t="s">
        <v>1019</v>
      </c>
      <c r="D51" s="92">
        <v>43413</v>
      </c>
      <c r="E51" s="93">
        <v>43424</v>
      </c>
      <c r="F51" s="92">
        <v>43415</v>
      </c>
      <c r="G51" s="92">
        <v>43421</v>
      </c>
      <c r="H51" s="89">
        <v>5</v>
      </c>
    </row>
    <row r="52" spans="1:8">
      <c r="A52" s="90" t="s">
        <v>1017</v>
      </c>
      <c r="B52" s="91" t="s">
        <v>1018</v>
      </c>
      <c r="C52" s="92" t="s">
        <v>1019</v>
      </c>
      <c r="D52" s="92">
        <v>43413</v>
      </c>
      <c r="E52" s="93">
        <v>43424</v>
      </c>
      <c r="F52" s="92">
        <v>43422</v>
      </c>
      <c r="G52" s="92">
        <v>43428</v>
      </c>
      <c r="H52" s="89">
        <v>2</v>
      </c>
    </row>
    <row r="53" spans="1:8">
      <c r="A53" s="90" t="s">
        <v>1020</v>
      </c>
      <c r="B53" s="91" t="s">
        <v>1021</v>
      </c>
      <c r="C53" s="92" t="s">
        <v>1022</v>
      </c>
      <c r="D53" s="92">
        <v>43413</v>
      </c>
      <c r="E53" s="93">
        <v>43431</v>
      </c>
      <c r="F53" s="92">
        <v>43408</v>
      </c>
      <c r="G53" s="92">
        <v>43414</v>
      </c>
      <c r="H53" s="89">
        <v>1</v>
      </c>
    </row>
    <row r="54" spans="1:8">
      <c r="A54" s="90" t="s">
        <v>1020</v>
      </c>
      <c r="B54" s="91" t="s">
        <v>1021</v>
      </c>
      <c r="C54" s="92" t="s">
        <v>1022</v>
      </c>
      <c r="D54" s="92">
        <v>43413</v>
      </c>
      <c r="E54" s="93">
        <v>43431</v>
      </c>
      <c r="F54" s="92">
        <v>43415</v>
      </c>
      <c r="G54" s="92">
        <v>43421</v>
      </c>
      <c r="H54" s="89">
        <v>5</v>
      </c>
    </row>
    <row r="55" spans="1:8">
      <c r="A55" s="90" t="s">
        <v>1020</v>
      </c>
      <c r="B55" s="91" t="s">
        <v>1021</v>
      </c>
      <c r="C55" s="92" t="s">
        <v>1022</v>
      </c>
      <c r="D55" s="92">
        <v>43413</v>
      </c>
      <c r="E55" s="93">
        <v>43431</v>
      </c>
      <c r="F55" s="92">
        <v>43422</v>
      </c>
      <c r="G55" s="92">
        <v>43428</v>
      </c>
      <c r="H55" s="89">
        <v>5</v>
      </c>
    </row>
    <row r="56" spans="1:8">
      <c r="A56" s="90" t="s">
        <v>1020</v>
      </c>
      <c r="B56" s="91" t="s">
        <v>1021</v>
      </c>
      <c r="C56" s="92" t="s">
        <v>1022</v>
      </c>
      <c r="D56" s="92">
        <v>43413</v>
      </c>
      <c r="E56" s="93">
        <v>43431</v>
      </c>
      <c r="F56" s="92">
        <v>43429</v>
      </c>
      <c r="G56" s="92">
        <v>43435</v>
      </c>
      <c r="H56" s="89">
        <v>2</v>
      </c>
    </row>
    <row r="57" spans="1:8">
      <c r="A57" s="90" t="s">
        <v>1023</v>
      </c>
      <c r="B57" s="91" t="s">
        <v>1024</v>
      </c>
      <c r="C57" s="92" t="s">
        <v>1022</v>
      </c>
      <c r="D57" s="92">
        <v>43434</v>
      </c>
      <c r="E57" s="93">
        <v>43438</v>
      </c>
      <c r="F57" s="92">
        <v>43429</v>
      </c>
      <c r="G57" s="92">
        <v>43435</v>
      </c>
      <c r="H57" s="89">
        <v>1</v>
      </c>
    </row>
    <row r="58" spans="1:8">
      <c r="A58" s="90" t="s">
        <v>1023</v>
      </c>
      <c r="B58" s="91" t="s">
        <v>1024</v>
      </c>
      <c r="C58" s="92" t="s">
        <v>1022</v>
      </c>
      <c r="D58" s="92">
        <v>43434</v>
      </c>
      <c r="E58" s="93">
        <v>43438</v>
      </c>
      <c r="F58" s="92">
        <v>43436</v>
      </c>
      <c r="G58" s="92">
        <v>43442</v>
      </c>
      <c r="H58" s="89">
        <v>2</v>
      </c>
    </row>
    <row r="59" spans="1:8">
      <c r="A59" s="90" t="s">
        <v>1025</v>
      </c>
      <c r="B59" s="91" t="s">
        <v>1026</v>
      </c>
      <c r="C59" s="92" t="s">
        <v>1022</v>
      </c>
      <c r="D59" s="92">
        <v>43434</v>
      </c>
      <c r="E59" s="93">
        <v>43438</v>
      </c>
      <c r="F59" s="92">
        <v>43429</v>
      </c>
      <c r="G59" s="92">
        <v>43435</v>
      </c>
      <c r="H59" s="89">
        <v>1</v>
      </c>
    </row>
    <row r="60" spans="1:8">
      <c r="A60" s="90" t="s">
        <v>1025</v>
      </c>
      <c r="B60" s="91" t="s">
        <v>1026</v>
      </c>
      <c r="C60" s="92" t="s">
        <v>1022</v>
      </c>
      <c r="D60" s="92">
        <v>43434</v>
      </c>
      <c r="E60" s="93">
        <v>43438</v>
      </c>
      <c r="F60" s="92">
        <v>43436</v>
      </c>
      <c r="G60" s="92">
        <v>43442</v>
      </c>
      <c r="H60" s="89">
        <v>2</v>
      </c>
    </row>
    <row r="61" spans="1:8">
      <c r="A61" s="90" t="s">
        <v>1027</v>
      </c>
      <c r="B61" s="91" t="s">
        <v>1028</v>
      </c>
      <c r="C61" s="92" t="s">
        <v>1029</v>
      </c>
      <c r="D61" s="92">
        <v>43434</v>
      </c>
      <c r="E61" s="93">
        <v>43438</v>
      </c>
      <c r="F61" s="92">
        <v>43429</v>
      </c>
      <c r="G61" s="92">
        <v>43435</v>
      </c>
      <c r="H61" s="89">
        <v>1</v>
      </c>
    </row>
    <row r="62" spans="1:8">
      <c r="A62" s="90" t="s">
        <v>1027</v>
      </c>
      <c r="B62" s="91" t="s">
        <v>1028</v>
      </c>
      <c r="C62" s="92" t="s">
        <v>1029</v>
      </c>
      <c r="D62" s="92">
        <v>43434</v>
      </c>
      <c r="E62" s="93">
        <v>43438</v>
      </c>
      <c r="F62" s="92">
        <v>43436</v>
      </c>
      <c r="G62" s="92">
        <v>43442</v>
      </c>
      <c r="H62" s="89">
        <v>2</v>
      </c>
    </row>
    <row r="63" spans="1:8">
      <c r="A63" s="90" t="s">
        <v>1030</v>
      </c>
      <c r="B63" s="91" t="s">
        <v>1031</v>
      </c>
      <c r="C63" s="92" t="s">
        <v>1032</v>
      </c>
      <c r="D63" s="92">
        <v>43441</v>
      </c>
      <c r="E63" s="93">
        <v>43445</v>
      </c>
      <c r="F63" s="92">
        <v>43436</v>
      </c>
      <c r="G63" s="92">
        <v>43442</v>
      </c>
      <c r="H63" s="89">
        <v>1</v>
      </c>
    </row>
    <row r="64" spans="1:8">
      <c r="A64" s="90" t="s">
        <v>1030</v>
      </c>
      <c r="B64" s="91" t="s">
        <v>1031</v>
      </c>
      <c r="C64" s="92" t="s">
        <v>1032</v>
      </c>
      <c r="D64" s="92">
        <v>43441</v>
      </c>
      <c r="E64" s="93">
        <v>43445</v>
      </c>
      <c r="F64" s="92">
        <v>43443</v>
      </c>
      <c r="G64" s="92">
        <v>43449</v>
      </c>
      <c r="H64" s="89">
        <v>2</v>
      </c>
    </row>
    <row r="65" spans="1:8">
      <c r="A65" s="90" t="s">
        <v>1033</v>
      </c>
      <c r="B65" s="91" t="s">
        <v>1034</v>
      </c>
      <c r="C65" s="92" t="s">
        <v>1032</v>
      </c>
      <c r="D65" s="92">
        <v>43441</v>
      </c>
      <c r="E65" s="93">
        <v>43452</v>
      </c>
      <c r="F65" s="92">
        <v>43436</v>
      </c>
      <c r="G65" s="92">
        <v>43442</v>
      </c>
      <c r="H65" s="89">
        <v>1</v>
      </c>
    </row>
    <row r="66" spans="1:8">
      <c r="A66" s="90" t="s">
        <v>1033</v>
      </c>
      <c r="B66" s="91" t="s">
        <v>1034</v>
      </c>
      <c r="C66" s="92" t="s">
        <v>1032</v>
      </c>
      <c r="D66" s="92">
        <v>43441</v>
      </c>
      <c r="E66" s="93">
        <v>43452</v>
      </c>
      <c r="F66" s="92">
        <v>43443</v>
      </c>
      <c r="G66" s="92">
        <v>43449</v>
      </c>
      <c r="H66" s="89">
        <v>5</v>
      </c>
    </row>
    <row r="67" spans="1:8">
      <c r="A67" s="90" t="s">
        <v>1033</v>
      </c>
      <c r="B67" s="91" t="s">
        <v>1034</v>
      </c>
      <c r="C67" s="92" t="s">
        <v>1032</v>
      </c>
      <c r="D67" s="92">
        <v>43441</v>
      </c>
      <c r="E67" s="93">
        <v>43452</v>
      </c>
      <c r="F67" s="92">
        <v>43450</v>
      </c>
      <c r="G67" s="92">
        <v>43456</v>
      </c>
      <c r="H67" s="89">
        <v>2</v>
      </c>
    </row>
    <row r="68" spans="1:8">
      <c r="A68" s="90" t="s">
        <v>1035</v>
      </c>
      <c r="B68" s="91" t="s">
        <v>1036</v>
      </c>
      <c r="C68" s="92" t="s">
        <v>1029</v>
      </c>
      <c r="D68" s="92">
        <v>43434</v>
      </c>
      <c r="E68" s="93">
        <v>43493</v>
      </c>
      <c r="F68" s="92">
        <v>43429</v>
      </c>
      <c r="G68" s="92">
        <v>43435</v>
      </c>
      <c r="H68" s="89">
        <v>0.5</v>
      </c>
    </row>
    <row r="69" spans="1:8">
      <c r="A69" s="90" t="s">
        <v>1035</v>
      </c>
      <c r="B69" s="91" t="s">
        <v>1036</v>
      </c>
      <c r="C69" s="92" t="s">
        <v>1032</v>
      </c>
      <c r="D69" s="92">
        <v>43434</v>
      </c>
      <c r="E69" s="93">
        <v>43493</v>
      </c>
      <c r="F69" s="92">
        <v>43429</v>
      </c>
      <c r="G69" s="92">
        <v>43435</v>
      </c>
      <c r="H69" s="89">
        <v>0.5</v>
      </c>
    </row>
    <row r="70" spans="1:8">
      <c r="A70" s="90" t="s">
        <v>1035</v>
      </c>
      <c r="B70" s="91" t="s">
        <v>1036</v>
      </c>
      <c r="C70" s="92" t="s">
        <v>1029</v>
      </c>
      <c r="D70" s="92">
        <v>43434</v>
      </c>
      <c r="E70" s="93">
        <v>43493</v>
      </c>
      <c r="F70" s="92">
        <v>43436</v>
      </c>
      <c r="G70" s="92">
        <v>43442</v>
      </c>
      <c r="H70" s="89">
        <v>2.5</v>
      </c>
    </row>
    <row r="71" spans="1:8">
      <c r="A71" s="90" t="s">
        <v>1035</v>
      </c>
      <c r="B71" s="91" t="s">
        <v>1036</v>
      </c>
      <c r="C71" s="92" t="s">
        <v>1032</v>
      </c>
      <c r="D71" s="92">
        <v>43434</v>
      </c>
      <c r="E71" s="93">
        <v>43493</v>
      </c>
      <c r="F71" s="92">
        <v>43436</v>
      </c>
      <c r="G71" s="92">
        <v>43442</v>
      </c>
      <c r="H71" s="89">
        <v>2.5</v>
      </c>
    </row>
    <row r="72" spans="1:8">
      <c r="A72" s="90" t="s">
        <v>1035</v>
      </c>
      <c r="B72" s="91" t="s">
        <v>1036</v>
      </c>
      <c r="C72" s="92" t="s">
        <v>1029</v>
      </c>
      <c r="D72" s="92">
        <v>43434</v>
      </c>
      <c r="E72" s="93">
        <v>43493</v>
      </c>
      <c r="F72" s="92">
        <v>43443</v>
      </c>
      <c r="G72" s="92">
        <v>43449</v>
      </c>
      <c r="H72" s="89">
        <v>2.5</v>
      </c>
    </row>
    <row r="73" spans="1:8">
      <c r="A73" s="90" t="s">
        <v>1035</v>
      </c>
      <c r="B73" s="91" t="s">
        <v>1036</v>
      </c>
      <c r="C73" s="92" t="s">
        <v>1032</v>
      </c>
      <c r="D73" s="92">
        <v>43434</v>
      </c>
      <c r="E73" s="93">
        <v>43493</v>
      </c>
      <c r="F73" s="92">
        <v>43443</v>
      </c>
      <c r="G73" s="92">
        <v>43449</v>
      </c>
      <c r="H73" s="89">
        <v>2.5</v>
      </c>
    </row>
    <row r="74" spans="1:8">
      <c r="A74" s="90" t="s">
        <v>1035</v>
      </c>
      <c r="B74" s="91" t="s">
        <v>1036</v>
      </c>
      <c r="C74" s="92" t="s">
        <v>1029</v>
      </c>
      <c r="D74" s="92">
        <v>43434</v>
      </c>
      <c r="E74" s="93">
        <v>43493</v>
      </c>
      <c r="F74" s="92">
        <v>43450</v>
      </c>
      <c r="G74" s="92">
        <v>43456</v>
      </c>
      <c r="H74" s="89">
        <v>2.5</v>
      </c>
    </row>
    <row r="75" spans="1:8">
      <c r="A75" s="90" t="s">
        <v>1035</v>
      </c>
      <c r="B75" s="91" t="s">
        <v>1036</v>
      </c>
      <c r="C75" s="92" t="s">
        <v>1032</v>
      </c>
      <c r="D75" s="92">
        <v>43434</v>
      </c>
      <c r="E75" s="93">
        <v>43493</v>
      </c>
      <c r="F75" s="92">
        <v>43450</v>
      </c>
      <c r="G75" s="92">
        <v>43456</v>
      </c>
      <c r="H75" s="89">
        <v>2.5</v>
      </c>
    </row>
    <row r="76" spans="1:8">
      <c r="A76" s="90" t="s">
        <v>1035</v>
      </c>
      <c r="B76" s="91" t="s">
        <v>1036</v>
      </c>
      <c r="C76" s="92" t="s">
        <v>1029</v>
      </c>
      <c r="D76" s="92">
        <v>43434</v>
      </c>
      <c r="E76" s="93">
        <v>43493</v>
      </c>
      <c r="F76" s="92">
        <v>43457</v>
      </c>
      <c r="G76" s="92">
        <v>43463</v>
      </c>
      <c r="H76" s="89">
        <v>2</v>
      </c>
    </row>
    <row r="77" spans="1:8">
      <c r="A77" s="90" t="s">
        <v>1035</v>
      </c>
      <c r="B77" s="91" t="s">
        <v>1036</v>
      </c>
      <c r="C77" s="92" t="s">
        <v>1032</v>
      </c>
      <c r="D77" s="92">
        <v>43434</v>
      </c>
      <c r="E77" s="93">
        <v>43493</v>
      </c>
      <c r="F77" s="92">
        <v>43457</v>
      </c>
      <c r="G77" s="92">
        <v>43463</v>
      </c>
      <c r="H77" s="89">
        <v>2</v>
      </c>
    </row>
    <row r="78" spans="1:8">
      <c r="A78" s="90" t="s">
        <v>1035</v>
      </c>
      <c r="B78" s="91" t="s">
        <v>1036</v>
      </c>
      <c r="C78" s="92" t="s">
        <v>1029</v>
      </c>
      <c r="D78" s="92">
        <v>43434</v>
      </c>
      <c r="E78" s="93">
        <v>43493</v>
      </c>
      <c r="F78" s="92">
        <v>43464</v>
      </c>
      <c r="G78" s="92">
        <v>43470</v>
      </c>
      <c r="H78" s="89">
        <v>2</v>
      </c>
    </row>
    <row r="79" spans="1:8">
      <c r="A79" s="90" t="s">
        <v>1035</v>
      </c>
      <c r="B79" s="91" t="s">
        <v>1036</v>
      </c>
      <c r="C79" s="92" t="s">
        <v>1032</v>
      </c>
      <c r="D79" s="92">
        <v>43434</v>
      </c>
      <c r="E79" s="93">
        <v>43493</v>
      </c>
      <c r="F79" s="92">
        <v>43464</v>
      </c>
      <c r="G79" s="92">
        <v>43470</v>
      </c>
      <c r="H79" s="89">
        <v>2</v>
      </c>
    </row>
    <row r="80" spans="1:8">
      <c r="A80" s="90" t="s">
        <v>1035</v>
      </c>
      <c r="B80" s="91" t="s">
        <v>1036</v>
      </c>
      <c r="C80" s="92" t="s">
        <v>1029</v>
      </c>
      <c r="D80" s="92">
        <v>43434</v>
      </c>
      <c r="E80" s="93">
        <v>43493</v>
      </c>
      <c r="F80" s="92">
        <v>43471</v>
      </c>
      <c r="G80" s="92">
        <v>43477</v>
      </c>
      <c r="H80" s="89">
        <v>2.5</v>
      </c>
    </row>
    <row r="81" spans="1:8">
      <c r="A81" s="90" t="s">
        <v>1035</v>
      </c>
      <c r="B81" s="91" t="s">
        <v>1036</v>
      </c>
      <c r="C81" s="92" t="s">
        <v>1032</v>
      </c>
      <c r="D81" s="92">
        <v>43434</v>
      </c>
      <c r="E81" s="93">
        <v>43493</v>
      </c>
      <c r="F81" s="92">
        <v>43471</v>
      </c>
      <c r="G81" s="92">
        <v>43477</v>
      </c>
      <c r="H81" s="89">
        <v>2.5</v>
      </c>
    </row>
    <row r="82" spans="1:8">
      <c r="A82" s="90" t="s">
        <v>1035</v>
      </c>
      <c r="B82" s="91" t="s">
        <v>1036</v>
      </c>
      <c r="C82" s="92" t="s">
        <v>1029</v>
      </c>
      <c r="D82" s="92">
        <v>43434</v>
      </c>
      <c r="E82" s="93">
        <v>43493</v>
      </c>
      <c r="F82" s="92">
        <v>43478</v>
      </c>
      <c r="G82" s="92">
        <v>43484</v>
      </c>
      <c r="H82" s="89">
        <v>2.5</v>
      </c>
    </row>
    <row r="83" spans="1:8">
      <c r="A83" s="90" t="s">
        <v>1035</v>
      </c>
      <c r="B83" s="91" t="s">
        <v>1036</v>
      </c>
      <c r="C83" s="92" t="s">
        <v>1032</v>
      </c>
      <c r="D83" s="92">
        <v>43434</v>
      </c>
      <c r="E83" s="93">
        <v>43493</v>
      </c>
      <c r="F83" s="92">
        <v>43478</v>
      </c>
      <c r="G83" s="92">
        <v>43484</v>
      </c>
      <c r="H83" s="89">
        <v>2.5</v>
      </c>
    </row>
    <row r="84" spans="1:8">
      <c r="A84" s="90" t="s">
        <v>1035</v>
      </c>
      <c r="B84" s="91" t="s">
        <v>1036</v>
      </c>
      <c r="C84" s="92" t="s">
        <v>1029</v>
      </c>
      <c r="D84" s="92">
        <v>43434</v>
      </c>
      <c r="E84" s="93">
        <v>43493</v>
      </c>
      <c r="F84" s="92">
        <v>43485</v>
      </c>
      <c r="G84" s="92">
        <v>43491</v>
      </c>
      <c r="H84" s="89">
        <v>2.5</v>
      </c>
    </row>
    <row r="85" spans="1:8">
      <c r="A85" s="90" t="s">
        <v>1035</v>
      </c>
      <c r="B85" s="91" t="s">
        <v>1036</v>
      </c>
      <c r="C85" s="92" t="s">
        <v>1032</v>
      </c>
      <c r="D85" s="92">
        <v>43434</v>
      </c>
      <c r="E85" s="93">
        <v>43493</v>
      </c>
      <c r="F85" s="92">
        <v>43485</v>
      </c>
      <c r="G85" s="92">
        <v>43491</v>
      </c>
      <c r="H85" s="89">
        <v>2.5</v>
      </c>
    </row>
    <row r="86" spans="1:8">
      <c r="A86" s="90" t="s">
        <v>1035</v>
      </c>
      <c r="B86" s="91" t="s">
        <v>1036</v>
      </c>
      <c r="C86" s="92" t="s">
        <v>1029</v>
      </c>
      <c r="D86" s="92">
        <v>43434</v>
      </c>
      <c r="E86" s="93">
        <v>43493</v>
      </c>
      <c r="F86" s="92">
        <v>43492</v>
      </c>
      <c r="G86" s="92">
        <v>43498</v>
      </c>
      <c r="H86" s="89">
        <v>0.5</v>
      </c>
    </row>
    <row r="87" spans="1:8">
      <c r="A87" s="90" t="s">
        <v>1035</v>
      </c>
      <c r="B87" s="91" t="s">
        <v>1036</v>
      </c>
      <c r="C87" s="92" t="s">
        <v>1032</v>
      </c>
      <c r="D87" s="92">
        <v>43434</v>
      </c>
      <c r="E87" s="93">
        <v>43493</v>
      </c>
      <c r="F87" s="92">
        <v>43492</v>
      </c>
      <c r="G87" s="92">
        <v>43498</v>
      </c>
      <c r="H87" s="89">
        <v>0.5</v>
      </c>
    </row>
    <row r="88" spans="1:8">
      <c r="A88" s="90" t="s">
        <v>1037</v>
      </c>
      <c r="B88" s="91" t="s">
        <v>1038</v>
      </c>
      <c r="C88" s="92" t="s">
        <v>1029</v>
      </c>
      <c r="D88" s="92">
        <v>43434</v>
      </c>
      <c r="E88" s="93">
        <v>43493</v>
      </c>
      <c r="F88" s="92">
        <v>43429</v>
      </c>
      <c r="G88" s="92">
        <v>43435</v>
      </c>
      <c r="H88" s="89">
        <v>1</v>
      </c>
    </row>
    <row r="89" spans="1:8">
      <c r="A89" s="90" t="s">
        <v>1037</v>
      </c>
      <c r="B89" s="91" t="s">
        <v>1038</v>
      </c>
      <c r="C89" s="92" t="s">
        <v>1029</v>
      </c>
      <c r="D89" s="92">
        <v>43434</v>
      </c>
      <c r="E89" s="93">
        <v>43493</v>
      </c>
      <c r="F89" s="92">
        <v>43436</v>
      </c>
      <c r="G89" s="92">
        <v>43442</v>
      </c>
      <c r="H89" s="89">
        <v>5</v>
      </c>
    </row>
    <row r="90" spans="1:8">
      <c r="A90" s="90" t="s">
        <v>1037</v>
      </c>
      <c r="B90" s="91" t="s">
        <v>1038</v>
      </c>
      <c r="C90" s="92" t="s">
        <v>1029</v>
      </c>
      <c r="D90" s="92">
        <v>43434</v>
      </c>
      <c r="E90" s="93">
        <v>43493</v>
      </c>
      <c r="F90" s="92">
        <v>43443</v>
      </c>
      <c r="G90" s="92">
        <v>43449</v>
      </c>
      <c r="H90" s="89">
        <v>5</v>
      </c>
    </row>
    <row r="91" spans="1:8">
      <c r="A91" s="90" t="s">
        <v>1037</v>
      </c>
      <c r="B91" s="91" t="s">
        <v>1038</v>
      </c>
      <c r="C91" s="92" t="s">
        <v>1029</v>
      </c>
      <c r="D91" s="92">
        <v>43434</v>
      </c>
      <c r="E91" s="93">
        <v>43493</v>
      </c>
      <c r="F91" s="92">
        <v>43450</v>
      </c>
      <c r="G91" s="92">
        <v>43456</v>
      </c>
      <c r="H91" s="89">
        <v>5</v>
      </c>
    </row>
    <row r="92" spans="1:8">
      <c r="A92" s="90" t="s">
        <v>1037</v>
      </c>
      <c r="B92" s="91" t="s">
        <v>1038</v>
      </c>
      <c r="C92" s="92" t="s">
        <v>1029</v>
      </c>
      <c r="D92" s="92">
        <v>43434</v>
      </c>
      <c r="E92" s="93">
        <v>43493</v>
      </c>
      <c r="F92" s="92">
        <v>43457</v>
      </c>
      <c r="G92" s="92">
        <v>43463</v>
      </c>
      <c r="H92" s="89">
        <v>4</v>
      </c>
    </row>
    <row r="93" spans="1:8">
      <c r="A93" s="90" t="s">
        <v>1037</v>
      </c>
      <c r="B93" s="91" t="s">
        <v>1038</v>
      </c>
      <c r="C93" s="92" t="s">
        <v>1029</v>
      </c>
      <c r="D93" s="92">
        <v>43434</v>
      </c>
      <c r="E93" s="93">
        <v>43493</v>
      </c>
      <c r="F93" s="92">
        <v>43464</v>
      </c>
      <c r="G93" s="92">
        <v>43470</v>
      </c>
      <c r="H93" s="89">
        <v>4</v>
      </c>
    </row>
    <row r="94" spans="1:8">
      <c r="A94" s="90" t="s">
        <v>1037</v>
      </c>
      <c r="B94" s="91" t="s">
        <v>1038</v>
      </c>
      <c r="C94" s="92" t="s">
        <v>1029</v>
      </c>
      <c r="D94" s="92">
        <v>43434</v>
      </c>
      <c r="E94" s="93">
        <v>43493</v>
      </c>
      <c r="F94" s="92">
        <v>43471</v>
      </c>
      <c r="G94" s="92">
        <v>43477</v>
      </c>
      <c r="H94" s="89">
        <v>5</v>
      </c>
    </row>
    <row r="95" spans="1:8">
      <c r="A95" s="90" t="s">
        <v>1037</v>
      </c>
      <c r="B95" s="91" t="s">
        <v>1038</v>
      </c>
      <c r="C95" s="92" t="s">
        <v>1029</v>
      </c>
      <c r="D95" s="92">
        <v>43434</v>
      </c>
      <c r="E95" s="93">
        <v>43493</v>
      </c>
      <c r="F95" s="92">
        <v>43478</v>
      </c>
      <c r="G95" s="92">
        <v>43484</v>
      </c>
      <c r="H95" s="89">
        <v>5</v>
      </c>
    </row>
    <row r="96" spans="1:8">
      <c r="A96" s="90" t="s">
        <v>1037</v>
      </c>
      <c r="B96" s="91" t="s">
        <v>1038</v>
      </c>
      <c r="C96" s="92" t="s">
        <v>1029</v>
      </c>
      <c r="D96" s="92">
        <v>43434</v>
      </c>
      <c r="E96" s="93">
        <v>43493</v>
      </c>
      <c r="F96" s="92">
        <v>43485</v>
      </c>
      <c r="G96" s="92">
        <v>43491</v>
      </c>
      <c r="H96" s="89">
        <v>5</v>
      </c>
    </row>
    <row r="97" spans="1:8">
      <c r="A97" s="90" t="s">
        <v>1037</v>
      </c>
      <c r="B97" s="91" t="s">
        <v>1038</v>
      </c>
      <c r="C97" s="92" t="s">
        <v>1029</v>
      </c>
      <c r="D97" s="92">
        <v>43434</v>
      </c>
      <c r="E97" s="93">
        <v>43493</v>
      </c>
      <c r="F97" s="92">
        <v>43492</v>
      </c>
      <c r="G97" s="92">
        <v>43498</v>
      </c>
      <c r="H97" s="89">
        <v>1</v>
      </c>
    </row>
    <row r="98" spans="1:8">
      <c r="A98" s="90" t="s">
        <v>1039</v>
      </c>
      <c r="B98" s="91" t="s">
        <v>1040</v>
      </c>
      <c r="C98" s="92" t="s">
        <v>1032</v>
      </c>
      <c r="D98" s="92">
        <v>43448</v>
      </c>
      <c r="E98" s="93">
        <v>43493</v>
      </c>
      <c r="F98" s="92">
        <v>43443</v>
      </c>
      <c r="G98" s="92">
        <v>43449</v>
      </c>
      <c r="H98" s="89">
        <v>1</v>
      </c>
    </row>
    <row r="99" spans="1:8">
      <c r="A99" s="90" t="s">
        <v>1039</v>
      </c>
      <c r="B99" s="91" t="s">
        <v>1040</v>
      </c>
      <c r="C99" s="92" t="s">
        <v>1032</v>
      </c>
      <c r="D99" s="92">
        <v>43448</v>
      </c>
      <c r="E99" s="93">
        <v>43493</v>
      </c>
      <c r="F99" s="92">
        <v>43450</v>
      </c>
      <c r="G99" s="92">
        <v>43456</v>
      </c>
      <c r="H99" s="89">
        <v>5</v>
      </c>
    </row>
    <row r="100" spans="1:8">
      <c r="A100" s="90" t="s">
        <v>1039</v>
      </c>
      <c r="B100" s="91" t="s">
        <v>1040</v>
      </c>
      <c r="C100" s="92" t="s">
        <v>1032</v>
      </c>
      <c r="D100" s="92">
        <v>43448</v>
      </c>
      <c r="E100" s="93">
        <v>43493</v>
      </c>
      <c r="F100" s="92">
        <v>43457</v>
      </c>
      <c r="G100" s="92">
        <v>43463</v>
      </c>
      <c r="H100" s="89">
        <v>4</v>
      </c>
    </row>
    <row r="101" spans="1:8">
      <c r="A101" s="90" t="s">
        <v>1039</v>
      </c>
      <c r="B101" s="91" t="s">
        <v>1040</v>
      </c>
      <c r="C101" s="92" t="s">
        <v>1032</v>
      </c>
      <c r="D101" s="92">
        <v>43448</v>
      </c>
      <c r="E101" s="93">
        <v>43493</v>
      </c>
      <c r="F101" s="92">
        <v>43464</v>
      </c>
      <c r="G101" s="92">
        <v>43470</v>
      </c>
      <c r="H101" s="89">
        <v>4</v>
      </c>
    </row>
    <row r="102" spans="1:8">
      <c r="A102" s="90" t="s">
        <v>1039</v>
      </c>
      <c r="B102" s="91" t="s">
        <v>1040</v>
      </c>
      <c r="C102" s="92" t="s">
        <v>1032</v>
      </c>
      <c r="D102" s="92">
        <v>43448</v>
      </c>
      <c r="E102" s="93">
        <v>43493</v>
      </c>
      <c r="F102" s="92">
        <v>43471</v>
      </c>
      <c r="G102" s="92">
        <v>43477</v>
      </c>
      <c r="H102" s="89">
        <v>5</v>
      </c>
    </row>
    <row r="103" spans="1:8">
      <c r="A103" s="90" t="s">
        <v>1039</v>
      </c>
      <c r="B103" s="91" t="s">
        <v>1040</v>
      </c>
      <c r="C103" s="92" t="s">
        <v>1032</v>
      </c>
      <c r="D103" s="92">
        <v>43448</v>
      </c>
      <c r="E103" s="93">
        <v>43493</v>
      </c>
      <c r="F103" s="92">
        <v>43478</v>
      </c>
      <c r="G103" s="92">
        <v>43484</v>
      </c>
      <c r="H103" s="89">
        <v>5</v>
      </c>
    </row>
    <row r="104" spans="1:8">
      <c r="A104" s="90" t="s">
        <v>1039</v>
      </c>
      <c r="B104" s="91" t="s">
        <v>1040</v>
      </c>
      <c r="C104" s="92" t="s">
        <v>1032</v>
      </c>
      <c r="D104" s="92">
        <v>43448</v>
      </c>
      <c r="E104" s="93">
        <v>43493</v>
      </c>
      <c r="F104" s="92">
        <v>43485</v>
      </c>
      <c r="G104" s="92">
        <v>43491</v>
      </c>
      <c r="H104" s="89">
        <v>5</v>
      </c>
    </row>
    <row r="105" spans="1:8">
      <c r="A105" s="90" t="s">
        <v>1039</v>
      </c>
      <c r="B105" s="91" t="s">
        <v>1040</v>
      </c>
      <c r="C105" s="92" t="s">
        <v>1032</v>
      </c>
      <c r="D105" s="92">
        <v>43448</v>
      </c>
      <c r="E105" s="93">
        <v>43493</v>
      </c>
      <c r="F105" s="92">
        <v>43492</v>
      </c>
      <c r="G105" s="92">
        <v>43498</v>
      </c>
      <c r="H105" s="89">
        <v>1</v>
      </c>
    </row>
    <row r="106" spans="1:8">
      <c r="A106" s="90" t="s">
        <v>1041</v>
      </c>
      <c r="B106" s="91" t="s">
        <v>1042</v>
      </c>
      <c r="C106" s="92" t="s">
        <v>1022</v>
      </c>
      <c r="D106" s="92">
        <v>43476</v>
      </c>
      <c r="E106" s="93">
        <v>43494</v>
      </c>
      <c r="F106" s="92">
        <v>43471</v>
      </c>
      <c r="G106" s="92">
        <v>43477</v>
      </c>
      <c r="H106" s="89">
        <v>1</v>
      </c>
    </row>
    <row r="107" spans="1:8">
      <c r="A107" s="90" t="s">
        <v>1041</v>
      </c>
      <c r="B107" s="91" t="s">
        <v>1042</v>
      </c>
      <c r="C107" s="92" t="s">
        <v>1022</v>
      </c>
      <c r="D107" s="92">
        <v>43476</v>
      </c>
      <c r="E107" s="93">
        <v>43494</v>
      </c>
      <c r="F107" s="92">
        <v>43478</v>
      </c>
      <c r="G107" s="92">
        <v>43484</v>
      </c>
      <c r="H107" s="89">
        <v>5</v>
      </c>
    </row>
    <row r="108" spans="1:8">
      <c r="A108" s="90" t="s">
        <v>1041</v>
      </c>
      <c r="B108" s="91" t="s">
        <v>1042</v>
      </c>
      <c r="C108" s="92" t="s">
        <v>1022</v>
      </c>
      <c r="D108" s="92">
        <v>43476</v>
      </c>
      <c r="E108" s="93">
        <v>43494</v>
      </c>
      <c r="F108" s="92">
        <v>43485</v>
      </c>
      <c r="G108" s="92">
        <v>43491</v>
      </c>
      <c r="H108" s="89">
        <v>5</v>
      </c>
    </row>
    <row r="109" spans="1:8">
      <c r="A109" s="90" t="s">
        <v>1041</v>
      </c>
      <c r="B109" s="91" t="s">
        <v>1042</v>
      </c>
      <c r="C109" s="92" t="s">
        <v>1022</v>
      </c>
      <c r="D109" s="92">
        <v>43476</v>
      </c>
      <c r="E109" s="93">
        <v>43494</v>
      </c>
      <c r="F109" s="92">
        <v>43492</v>
      </c>
      <c r="G109" s="92">
        <v>43498</v>
      </c>
      <c r="H109" s="89">
        <v>2</v>
      </c>
    </row>
    <row r="110" spans="1:8">
      <c r="A110" s="90" t="s">
        <v>1043</v>
      </c>
      <c r="B110" s="91" t="s">
        <v>1044</v>
      </c>
      <c r="C110" s="92" t="s">
        <v>1022</v>
      </c>
      <c r="D110" s="92">
        <v>43497</v>
      </c>
      <c r="E110" s="93">
        <v>43501</v>
      </c>
      <c r="F110" s="92">
        <v>43492</v>
      </c>
      <c r="G110" s="92">
        <v>43498</v>
      </c>
      <c r="H110" s="89">
        <v>1</v>
      </c>
    </row>
    <row r="111" spans="1:8">
      <c r="A111" s="90" t="s">
        <v>1043</v>
      </c>
      <c r="B111" s="91" t="s">
        <v>1044</v>
      </c>
      <c r="C111" s="92" t="s">
        <v>1022</v>
      </c>
      <c r="D111" s="92">
        <v>43497</v>
      </c>
      <c r="E111" s="93">
        <v>43501</v>
      </c>
      <c r="F111" s="92">
        <v>43499</v>
      </c>
      <c r="G111" s="92">
        <v>43505</v>
      </c>
      <c r="H111" s="89">
        <v>0</v>
      </c>
    </row>
    <row r="112" spans="1:8">
      <c r="A112" s="90" t="s">
        <v>1045</v>
      </c>
      <c r="B112" s="91" t="s">
        <v>1046</v>
      </c>
      <c r="C112" s="92" t="s">
        <v>1022</v>
      </c>
      <c r="D112" s="92">
        <v>43497</v>
      </c>
      <c r="E112" s="93">
        <v>43499</v>
      </c>
      <c r="F112" s="92">
        <v>43492</v>
      </c>
      <c r="G112" s="92">
        <v>43498</v>
      </c>
      <c r="H112" s="89">
        <v>1</v>
      </c>
    </row>
    <row r="113" spans="1:8">
      <c r="A113" s="90" t="s">
        <v>1045</v>
      </c>
      <c r="B113" s="91" t="s">
        <v>1046</v>
      </c>
      <c r="C113" s="92" t="s">
        <v>1022</v>
      </c>
      <c r="D113" s="92">
        <v>43497</v>
      </c>
      <c r="E113" s="93">
        <v>43499</v>
      </c>
      <c r="F113" s="92">
        <v>43499</v>
      </c>
      <c r="G113" s="92">
        <v>43505</v>
      </c>
      <c r="H113" s="89">
        <v>0</v>
      </c>
    </row>
    <row r="114" spans="1:8">
      <c r="A114" s="90" t="s">
        <v>1047</v>
      </c>
      <c r="B114" s="91" t="s">
        <v>1048</v>
      </c>
      <c r="C114" s="92" t="s">
        <v>1022</v>
      </c>
      <c r="D114" s="92">
        <v>43501</v>
      </c>
      <c r="E114" s="93">
        <v>43503</v>
      </c>
      <c r="F114" s="92">
        <v>43499</v>
      </c>
      <c r="G114" s="92">
        <v>43505</v>
      </c>
      <c r="H114" s="89">
        <v>0.5</v>
      </c>
    </row>
    <row r="115" spans="1:8">
      <c r="A115" s="90" t="s">
        <v>1047</v>
      </c>
      <c r="B115" s="91" t="s">
        <v>1048</v>
      </c>
      <c r="C115" s="92" t="s">
        <v>1019</v>
      </c>
      <c r="D115" s="92">
        <v>43501</v>
      </c>
      <c r="E115" s="93">
        <v>43503</v>
      </c>
      <c r="F115" s="92">
        <v>43499</v>
      </c>
      <c r="G115" s="92">
        <v>43505</v>
      </c>
      <c r="H115" s="89">
        <v>0.5</v>
      </c>
    </row>
    <row r="116" spans="1:8">
      <c r="A116" s="90" t="s">
        <v>1049</v>
      </c>
      <c r="B116" s="91" t="s">
        <v>1050</v>
      </c>
      <c r="C116" s="92" t="s">
        <v>1022</v>
      </c>
      <c r="D116" s="92">
        <v>43501</v>
      </c>
      <c r="E116" s="93">
        <v>43503</v>
      </c>
      <c r="F116" s="92">
        <v>43499</v>
      </c>
      <c r="G116" s="92">
        <v>43505</v>
      </c>
      <c r="H116" s="89">
        <v>0.5</v>
      </c>
    </row>
    <row r="117" spans="1:8">
      <c r="A117" s="90" t="s">
        <v>1049</v>
      </c>
      <c r="B117" s="91" t="s">
        <v>1050</v>
      </c>
      <c r="C117" s="92" t="s">
        <v>1029</v>
      </c>
      <c r="D117" s="92">
        <v>43501</v>
      </c>
      <c r="E117" s="93">
        <v>43503</v>
      </c>
      <c r="F117" s="92">
        <v>43499</v>
      </c>
      <c r="G117" s="92">
        <v>43505</v>
      </c>
      <c r="H117" s="89">
        <v>0.5</v>
      </c>
    </row>
    <row r="118" spans="1:8">
      <c r="A118" s="90" t="s">
        <v>1051</v>
      </c>
      <c r="B118" s="91" t="s">
        <v>1052</v>
      </c>
      <c r="C118" s="92" t="s">
        <v>1022</v>
      </c>
      <c r="D118" s="92">
        <v>43501</v>
      </c>
      <c r="E118" s="93">
        <v>43503</v>
      </c>
      <c r="F118" s="92">
        <v>43499</v>
      </c>
      <c r="G118" s="92">
        <v>43505</v>
      </c>
      <c r="H118" s="89">
        <v>0.5</v>
      </c>
    </row>
    <row r="119" spans="1:8">
      <c r="A119" s="90" t="s">
        <v>1051</v>
      </c>
      <c r="B119" s="91" t="s">
        <v>1052</v>
      </c>
      <c r="C119" s="92" t="s">
        <v>1029</v>
      </c>
      <c r="D119" s="92">
        <v>43501</v>
      </c>
      <c r="E119" s="93">
        <v>43503</v>
      </c>
      <c r="F119" s="92">
        <v>43499</v>
      </c>
      <c r="G119" s="92">
        <v>43505</v>
      </c>
      <c r="H119" s="89">
        <v>0.5</v>
      </c>
    </row>
    <row r="120" spans="1:8">
      <c r="A120" s="90" t="s">
        <v>1053</v>
      </c>
      <c r="B120" s="91" t="s">
        <v>1054</v>
      </c>
      <c r="C120" s="92" t="s">
        <v>1022</v>
      </c>
      <c r="D120" s="92">
        <v>43504</v>
      </c>
      <c r="E120" s="93">
        <v>43504</v>
      </c>
      <c r="F120" s="92">
        <v>43499</v>
      </c>
      <c r="G120" s="92">
        <v>43505</v>
      </c>
      <c r="H120" s="89">
        <v>1</v>
      </c>
    </row>
    <row r="121" spans="1:8">
      <c r="G121" s="89" t="s">
        <v>1055</v>
      </c>
      <c r="H121" s="89">
        <f>SUM(H2:H120)</f>
        <v>263</v>
      </c>
    </row>
  </sheetData>
  <phoneticPr fontId="2"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outlinePr summaryBelow="0"/>
    <pageSetUpPr fitToPage="1"/>
  </sheetPr>
  <dimension ref="A1:GG130"/>
  <sheetViews>
    <sheetView tabSelected="1" zoomScaleNormal="100" zoomScalePageLayoutView="55" workbookViewId="0">
      <pane ySplit="4" topLeftCell="A5" activePane="bottomLeft" state="frozen"/>
      <selection pane="bottomLeft" activeCell="D5" sqref="D5"/>
      <selection activeCell="E5" sqref="E5"/>
    </sheetView>
  </sheetViews>
  <sheetFormatPr defaultColWidth="10" defaultRowHeight="12" outlineLevelRow="5"/>
  <cols>
    <col min="1" max="1" width="19.875" style="111" hidden="1" customWidth="1"/>
    <col min="2" max="2" width="8.375" style="111" hidden="1" customWidth="1"/>
    <col min="3" max="3" width="9.375" style="111" hidden="1" customWidth="1"/>
    <col min="4" max="4" width="10.125" style="5" customWidth="1"/>
    <col min="5" max="10" width="2.375" style="6" customWidth="1"/>
    <col min="11" max="11" width="10.125" style="6" customWidth="1"/>
    <col min="12" max="12" width="9.75" style="6" customWidth="1"/>
    <col min="13" max="14" width="8.5" style="7" bestFit="1" customWidth="1"/>
    <col min="15" max="15" width="7.625" style="6" hidden="1" customWidth="1"/>
    <col min="16" max="16" width="6" style="8" bestFit="1" customWidth="1"/>
    <col min="17" max="17" width="5.375" style="8" bestFit="1" customWidth="1"/>
    <col min="18" max="18" width="8.375" style="9" hidden="1" customWidth="1"/>
    <col min="19" max="19" width="4.25" style="9" hidden="1" customWidth="1"/>
    <col min="20" max="20" width="13.125" style="7" hidden="1" customWidth="1"/>
    <col min="21" max="21" width="13.625" style="7" hidden="1" customWidth="1"/>
    <col min="22" max="22" width="8.375" style="10" hidden="1" customWidth="1"/>
    <col min="23" max="23" width="6.625" style="11" hidden="1" customWidth="1"/>
    <col min="24" max="24" width="4.75" style="12" customWidth="1"/>
    <col min="25" max="25" width="9.25" style="6" customWidth="1"/>
    <col min="26" max="26" width="11.5" style="13" customWidth="1"/>
    <col min="27" max="27" width="7" style="14" customWidth="1"/>
    <col min="28" max="28" width="7.125" style="15" customWidth="1"/>
    <col min="29" max="189" width="1.875" style="108" customWidth="1"/>
    <col min="190" max="16384" width="10" style="108"/>
  </cols>
  <sheetData>
    <row r="1" spans="1:189" s="150" customFormat="1" ht="20.100000000000001" customHeight="1">
      <c r="A1" s="133"/>
      <c r="B1" s="143"/>
      <c r="C1" s="134"/>
      <c r="D1" s="135" t="str">
        <f ca="1">xlgantt.ProjectName()</f>
        <v>OOO 프로젝트</v>
      </c>
      <c r="E1" s="136"/>
      <c r="F1" s="136"/>
      <c r="G1" s="136"/>
      <c r="H1" s="136"/>
      <c r="I1" s="136"/>
      <c r="J1" s="136"/>
      <c r="K1" s="136"/>
      <c r="L1" s="136"/>
      <c r="M1" s="136"/>
      <c r="N1" s="137"/>
      <c r="O1" s="138"/>
      <c r="P1" s="139"/>
      <c r="Q1" s="140"/>
      <c r="R1" s="141"/>
      <c r="S1" s="141"/>
      <c r="T1" s="142"/>
      <c r="U1" s="142"/>
      <c r="V1" s="143"/>
      <c r="W1" s="144"/>
      <c r="X1" s="145"/>
      <c r="Y1" s="146"/>
      <c r="Z1" s="147"/>
      <c r="AA1" s="148"/>
      <c r="AB1" s="149" t="str">
        <f ca="1">xlgantt.ProjectProgressString()</f>
        <v>2018-10-02~2019-03-02 [계획:4.18% 실적:8.32%]</v>
      </c>
      <c r="AC1" s="207" t="s">
        <v>1056</v>
      </c>
      <c r="AD1" s="207"/>
      <c r="AE1" s="207"/>
      <c r="AF1" s="207"/>
      <c r="AG1" s="207"/>
      <c r="AH1" s="207"/>
      <c r="AI1" s="207"/>
      <c r="AJ1" s="207"/>
      <c r="AK1" s="207"/>
      <c r="AL1" s="207"/>
      <c r="AM1" s="207"/>
      <c r="AN1" s="207"/>
      <c r="AO1" s="207"/>
      <c r="AP1" s="207"/>
      <c r="AQ1" s="207"/>
      <c r="AR1" s="207"/>
      <c r="AS1" s="207"/>
      <c r="AT1" s="207"/>
      <c r="AU1" s="207"/>
      <c r="AV1" s="207"/>
      <c r="AW1" s="207"/>
      <c r="AX1" s="207"/>
      <c r="AY1" s="207"/>
      <c r="AZ1" s="207"/>
      <c r="BA1" s="207"/>
      <c r="BB1" s="207"/>
      <c r="BC1" s="207"/>
      <c r="BD1" s="207"/>
      <c r="BE1" s="207"/>
      <c r="BF1" s="207"/>
      <c r="BG1" s="207"/>
      <c r="BH1" s="207"/>
      <c r="BI1" s="207"/>
      <c r="BJ1" s="207"/>
      <c r="BK1" s="207"/>
      <c r="BL1" s="207"/>
      <c r="BM1" s="207"/>
      <c r="BN1" s="207"/>
      <c r="BO1" s="207"/>
      <c r="BP1" s="207"/>
      <c r="BQ1" s="207"/>
      <c r="BR1" s="207"/>
      <c r="BS1" s="207"/>
      <c r="BT1" s="207"/>
      <c r="BU1" s="207"/>
      <c r="BV1" s="207"/>
      <c r="BW1" s="207"/>
      <c r="BX1" s="207"/>
      <c r="BY1" s="207"/>
      <c r="BZ1" s="207"/>
      <c r="CA1" s="207"/>
    </row>
    <row r="2" spans="1:189" s="150" customFormat="1" ht="15" customHeight="1">
      <c r="A2" s="151"/>
      <c r="B2" s="151"/>
      <c r="C2" s="152"/>
      <c r="D2" s="218"/>
      <c r="E2" s="218"/>
      <c r="F2" s="218"/>
      <c r="G2" s="153"/>
      <c r="H2" s="154"/>
      <c r="I2" s="153"/>
      <c r="J2" s="153"/>
      <c r="K2" s="153"/>
      <c r="L2" s="153"/>
      <c r="M2" s="153"/>
      <c r="N2" s="153"/>
      <c r="O2" s="153"/>
      <c r="P2" s="153"/>
      <c r="Q2" s="153"/>
      <c r="R2" s="153"/>
      <c r="S2" s="153"/>
      <c r="T2" s="153"/>
      <c r="U2" s="153"/>
      <c r="V2" s="153"/>
      <c r="W2" s="153"/>
      <c r="X2" s="153"/>
      <c r="Y2" s="153"/>
      <c r="Z2" s="155"/>
      <c r="AA2" s="156"/>
      <c r="AB2" s="153" t="str">
        <f ca="1">xlgantt.CommentOnHeadArea()</f>
        <v>별(*)표시는 필수입력, 주황색열은 자동계산</v>
      </c>
      <c r="AC2" s="157" t="s">
        <v>1057</v>
      </c>
    </row>
    <row r="3" spans="1:189" s="1" customFormat="1" ht="20.100000000000001" customHeight="1">
      <c r="A3" s="209" t="s">
        <v>1058</v>
      </c>
      <c r="B3" s="211" t="s">
        <v>1059</v>
      </c>
      <c r="C3" s="213" t="s">
        <v>1060</v>
      </c>
      <c r="D3" s="214" t="s">
        <v>1061</v>
      </c>
      <c r="E3" s="215" t="s">
        <v>1062</v>
      </c>
      <c r="F3" s="216"/>
      <c r="G3" s="216"/>
      <c r="H3" s="216"/>
      <c r="I3" s="216"/>
      <c r="J3" s="216"/>
      <c r="K3" s="217"/>
      <c r="L3" s="219" t="s">
        <v>1063</v>
      </c>
      <c r="M3" s="219" t="s">
        <v>1064</v>
      </c>
      <c r="N3" s="219" t="s">
        <v>1065</v>
      </c>
      <c r="O3" s="211" t="s">
        <v>1066</v>
      </c>
      <c r="P3" s="220" t="s">
        <v>1067</v>
      </c>
      <c r="Q3" s="220" t="s">
        <v>1068</v>
      </c>
      <c r="R3" s="220" t="s">
        <v>1069</v>
      </c>
      <c r="S3" s="220" t="s">
        <v>1070</v>
      </c>
      <c r="T3" s="222" t="s">
        <v>1071</v>
      </c>
      <c r="U3" s="222" t="s">
        <v>1072</v>
      </c>
      <c r="V3" s="223" t="s">
        <v>1073</v>
      </c>
      <c r="W3" s="224" t="s">
        <v>1074</v>
      </c>
      <c r="X3" s="225" t="s">
        <v>1075</v>
      </c>
      <c r="Y3" s="219" t="s">
        <v>1076</v>
      </c>
      <c r="Z3" s="211" t="s">
        <v>1077</v>
      </c>
      <c r="AA3" s="226" t="s">
        <v>1078</v>
      </c>
      <c r="AB3" s="221" t="s">
        <v>1079</v>
      </c>
      <c r="AC3" s="205">
        <v>43373</v>
      </c>
      <c r="AD3" s="206"/>
      <c r="AE3" s="206"/>
      <c r="AF3" s="206"/>
      <c r="AG3" s="206">
        <v>43401</v>
      </c>
      <c r="AH3" s="206"/>
      <c r="AI3" s="206"/>
      <c r="AJ3" s="206"/>
      <c r="AK3" s="206">
        <v>43429</v>
      </c>
      <c r="AL3" s="206"/>
      <c r="AM3" s="206"/>
      <c r="AN3" s="206"/>
      <c r="AO3" s="206">
        <v>43457</v>
      </c>
      <c r="AP3" s="206"/>
      <c r="AQ3" s="206"/>
      <c r="AR3" s="206"/>
      <c r="AS3" s="206">
        <v>43485</v>
      </c>
      <c r="AT3" s="206"/>
      <c r="AU3" s="206"/>
      <c r="AV3" s="206"/>
      <c r="AW3" s="206">
        <v>43513</v>
      </c>
      <c r="AX3" s="206"/>
      <c r="AY3" s="206"/>
      <c r="AZ3" s="208"/>
    </row>
    <row r="4" spans="1:189" s="2" customFormat="1" ht="5.0999999999999996" customHeight="1">
      <c r="A4" s="210"/>
      <c r="B4" s="212"/>
      <c r="C4" s="209"/>
      <c r="D4" s="214"/>
      <c r="E4" s="215"/>
      <c r="F4" s="216"/>
      <c r="G4" s="216"/>
      <c r="H4" s="216"/>
      <c r="I4" s="216"/>
      <c r="J4" s="216"/>
      <c r="K4" s="217"/>
      <c r="L4" s="219"/>
      <c r="M4" s="219"/>
      <c r="N4" s="219"/>
      <c r="O4" s="211"/>
      <c r="P4" s="220"/>
      <c r="Q4" s="220"/>
      <c r="R4" s="220"/>
      <c r="S4" s="220"/>
      <c r="T4" s="219"/>
      <c r="U4" s="219"/>
      <c r="V4" s="223"/>
      <c r="W4" s="224"/>
      <c r="X4" s="225"/>
      <c r="Y4" s="219"/>
      <c r="Z4" s="211"/>
      <c r="AA4" s="226"/>
      <c r="AB4" s="221"/>
      <c r="AC4" s="106">
        <v>43373</v>
      </c>
      <c r="AD4" s="107">
        <v>43380</v>
      </c>
      <c r="AE4" s="107">
        <v>43387</v>
      </c>
      <c r="AF4" s="107">
        <v>43394</v>
      </c>
      <c r="AG4" s="107">
        <v>43401</v>
      </c>
      <c r="AH4" s="107">
        <v>43408</v>
      </c>
      <c r="AI4" s="107">
        <v>43415</v>
      </c>
      <c r="AJ4" s="107">
        <v>43422</v>
      </c>
      <c r="AK4" s="107">
        <v>43429</v>
      </c>
      <c r="AL4" s="107">
        <v>43436</v>
      </c>
      <c r="AM4" s="107">
        <v>43443</v>
      </c>
      <c r="AN4" s="107">
        <v>43450</v>
      </c>
      <c r="AO4" s="107">
        <v>43457</v>
      </c>
      <c r="AP4" s="107">
        <v>43464</v>
      </c>
      <c r="AQ4" s="107">
        <v>43471</v>
      </c>
      <c r="AR4" s="107">
        <v>43478</v>
      </c>
      <c r="AS4" s="107">
        <v>43485</v>
      </c>
      <c r="AT4" s="107">
        <v>43492</v>
      </c>
      <c r="AU4" s="107">
        <v>43499</v>
      </c>
      <c r="AV4" s="107">
        <v>43506</v>
      </c>
      <c r="AW4" s="107">
        <v>43513</v>
      </c>
      <c r="AX4" s="107">
        <v>43520</v>
      </c>
      <c r="AY4" s="107">
        <v>43527</v>
      </c>
      <c r="AZ4" s="109"/>
      <c r="BA4" s="114"/>
      <c r="BB4" s="115"/>
      <c r="BC4" s="115"/>
      <c r="BD4" s="115"/>
      <c r="BE4" s="115"/>
      <c r="BF4" s="115"/>
      <c r="BG4" s="115"/>
      <c r="BH4" s="115"/>
      <c r="BI4" s="115"/>
      <c r="BJ4" s="115"/>
      <c r="BK4" s="115"/>
      <c r="BL4" s="115"/>
      <c r="BM4" s="115"/>
      <c r="BN4" s="115"/>
      <c r="BO4" s="115"/>
      <c r="BP4" s="115"/>
      <c r="BQ4" s="115"/>
      <c r="BR4" s="115"/>
      <c r="BS4" s="115"/>
      <c r="BT4" s="115"/>
      <c r="BU4" s="115"/>
      <c r="BV4" s="115"/>
      <c r="BW4" s="115"/>
      <c r="BX4" s="115"/>
      <c r="BY4" s="115"/>
      <c r="BZ4" s="115"/>
      <c r="CA4" s="115"/>
      <c r="CB4" s="115"/>
      <c r="CC4" s="115"/>
      <c r="CD4" s="115"/>
      <c r="CE4" s="115"/>
      <c r="CF4" s="115"/>
      <c r="CG4" s="115"/>
      <c r="CH4" s="115"/>
      <c r="CI4" s="115"/>
      <c r="CJ4" s="115"/>
      <c r="CK4" s="115"/>
      <c r="CL4" s="115"/>
      <c r="CM4" s="115"/>
      <c r="CN4" s="115"/>
      <c r="CO4" s="115"/>
      <c r="CP4" s="115"/>
      <c r="CQ4" s="115"/>
      <c r="CR4" s="115"/>
      <c r="CS4" s="115"/>
      <c r="CT4" s="115"/>
      <c r="CU4" s="115"/>
      <c r="CV4" s="115"/>
      <c r="CW4" s="115"/>
      <c r="CX4" s="115"/>
      <c r="CY4" s="115"/>
      <c r="CZ4" s="115"/>
      <c r="DA4" s="115"/>
      <c r="DB4" s="115"/>
      <c r="DC4" s="115"/>
      <c r="DD4" s="115"/>
      <c r="DE4" s="115"/>
      <c r="DF4" s="115"/>
      <c r="DG4" s="115"/>
      <c r="DH4" s="115"/>
      <c r="DI4" s="115"/>
      <c r="DJ4" s="115"/>
      <c r="DK4" s="115"/>
      <c r="DL4" s="115"/>
      <c r="DM4" s="115"/>
      <c r="DN4" s="115"/>
      <c r="DO4" s="115"/>
      <c r="DP4" s="115"/>
      <c r="DQ4" s="115"/>
      <c r="DR4" s="115"/>
      <c r="DS4" s="115"/>
      <c r="DT4" s="115"/>
      <c r="DU4" s="115"/>
      <c r="DV4" s="115"/>
      <c r="DW4" s="115"/>
      <c r="DX4" s="115"/>
      <c r="DY4" s="115"/>
      <c r="DZ4" s="115"/>
      <c r="EA4" s="115"/>
      <c r="EB4" s="115"/>
      <c r="EC4" s="115"/>
      <c r="ED4" s="115"/>
      <c r="EE4" s="115"/>
      <c r="EF4" s="115"/>
      <c r="EG4" s="115"/>
      <c r="EH4" s="115"/>
      <c r="EI4" s="115"/>
      <c r="EJ4" s="115"/>
      <c r="EK4" s="115"/>
      <c r="EL4" s="115"/>
      <c r="EM4" s="115"/>
      <c r="EN4" s="115"/>
      <c r="EO4" s="115"/>
      <c r="EP4" s="115"/>
      <c r="EQ4" s="115"/>
      <c r="ER4" s="115"/>
      <c r="ES4" s="115"/>
      <c r="ET4" s="115"/>
      <c r="EU4" s="115"/>
      <c r="EV4" s="115"/>
      <c r="EW4" s="115"/>
      <c r="EX4" s="115"/>
      <c r="EY4" s="115"/>
      <c r="EZ4" s="115"/>
      <c r="FA4" s="115"/>
      <c r="FB4" s="115"/>
      <c r="FC4" s="115"/>
      <c r="FD4" s="115"/>
      <c r="FE4" s="115"/>
      <c r="FF4" s="115"/>
      <c r="FG4" s="115"/>
      <c r="FH4" s="115"/>
      <c r="FI4" s="115"/>
      <c r="FJ4" s="115"/>
      <c r="FK4" s="115"/>
      <c r="FL4" s="115"/>
      <c r="FM4" s="115"/>
      <c r="FN4" s="115"/>
      <c r="FO4" s="115"/>
      <c r="FP4" s="115"/>
      <c r="FQ4" s="115"/>
      <c r="FR4" s="115"/>
      <c r="FS4" s="115"/>
      <c r="FT4" s="115"/>
      <c r="FU4" s="115"/>
      <c r="FV4" s="115"/>
      <c r="FW4" s="115"/>
      <c r="FX4" s="115"/>
      <c r="FY4" s="115"/>
      <c r="FZ4" s="115"/>
      <c r="GA4" s="115"/>
      <c r="GB4" s="115"/>
      <c r="GC4" s="115"/>
      <c r="GD4" s="115"/>
      <c r="GE4" s="115"/>
      <c r="GF4" s="115"/>
      <c r="GG4" s="115"/>
    </row>
    <row r="5" spans="1:189">
      <c r="A5" s="110"/>
      <c r="B5" s="110" t="s">
        <v>1080</v>
      </c>
      <c r="C5" s="110">
        <v>1</v>
      </c>
      <c r="D5" s="3" t="s">
        <v>1081</v>
      </c>
      <c r="E5" s="175" t="s">
        <v>1082</v>
      </c>
      <c r="F5" s="175"/>
      <c r="G5" s="175"/>
      <c r="H5" s="175"/>
      <c r="I5" s="175"/>
      <c r="J5" s="175"/>
      <c r="K5" s="175"/>
      <c r="L5" s="175"/>
      <c r="M5" s="176">
        <v>43375</v>
      </c>
      <c r="N5" s="176">
        <v>43526</v>
      </c>
      <c r="O5" s="175"/>
      <c r="P5" s="177">
        <v>44</v>
      </c>
      <c r="Q5" s="177">
        <v>5</v>
      </c>
      <c r="R5" s="178">
        <v>101</v>
      </c>
      <c r="S5" s="178">
        <v>7</v>
      </c>
      <c r="T5" s="176"/>
      <c r="U5" s="176"/>
      <c r="V5" s="179">
        <v>0</v>
      </c>
      <c r="W5" s="180">
        <v>0</v>
      </c>
      <c r="X5" s="181"/>
      <c r="Y5" s="175"/>
      <c r="Z5" s="182"/>
      <c r="AA5" s="94">
        <v>0.11363636363636363</v>
      </c>
      <c r="AB5" s="183">
        <v>0.11363636363636363</v>
      </c>
      <c r="AC5" s="116"/>
      <c r="AD5" s="4"/>
      <c r="AE5" s="4" t="str">
        <f>"     " &amp; TEXT(AB5,"#0.00%") &amp; " "</f>
        <v xml:space="preserve">     11.36% </v>
      </c>
      <c r="AF5" s="4"/>
      <c r="AG5" s="4"/>
      <c r="AH5" s="4"/>
      <c r="AI5" s="4"/>
      <c r="AJ5" s="4"/>
      <c r="AK5" s="4"/>
      <c r="AL5" s="4"/>
      <c r="AM5" s="4"/>
      <c r="AN5" s="4"/>
      <c r="AO5" s="4"/>
      <c r="AP5" s="4"/>
      <c r="AQ5" s="4"/>
      <c r="AR5" s="4"/>
      <c r="AS5" s="4"/>
      <c r="AT5" s="4"/>
      <c r="AU5" s="4"/>
      <c r="AV5" s="4"/>
      <c r="AW5" s="4"/>
      <c r="AX5" s="4"/>
      <c r="AY5" s="4" t="str">
        <f>"" &amp; "프로젝트 관리" &amp; " " &amp; IF(M5="","",TEXT(M5,"M/D-")) &amp; IF(N5="","",TEXT(N5,"M/D")) &amp; " "</f>
        <v xml:space="preserve">프로젝트 관리 10/2-3/2 </v>
      </c>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4"/>
      <c r="CR5" s="4"/>
      <c r="CS5" s="4"/>
      <c r="CT5" s="4"/>
      <c r="CU5" s="4"/>
      <c r="CV5" s="4"/>
      <c r="CW5" s="4"/>
      <c r="CX5" s="4"/>
      <c r="CY5" s="4"/>
      <c r="CZ5" s="4"/>
      <c r="DA5" s="4"/>
      <c r="DB5" s="4"/>
      <c r="DC5" s="4"/>
      <c r="DD5" s="4"/>
      <c r="DE5" s="4"/>
      <c r="DF5" s="4"/>
      <c r="DG5" s="4"/>
      <c r="DH5" s="4"/>
      <c r="DI5" s="4"/>
      <c r="DJ5" s="4"/>
      <c r="DK5" s="4"/>
      <c r="DL5" s="4"/>
      <c r="DM5" s="4"/>
      <c r="DN5" s="4"/>
      <c r="DO5" s="4"/>
      <c r="DP5" s="4"/>
      <c r="DQ5" s="4"/>
      <c r="DR5" s="4"/>
      <c r="DS5" s="4"/>
      <c r="DT5" s="4"/>
      <c r="DU5" s="4"/>
      <c r="DV5" s="4"/>
      <c r="DW5" s="4"/>
      <c r="DX5" s="4"/>
      <c r="DY5" s="4"/>
      <c r="DZ5" s="4"/>
      <c r="EA5" s="4"/>
      <c r="EB5" s="4"/>
      <c r="EC5" s="4"/>
      <c r="ED5" s="4"/>
      <c r="EE5" s="4"/>
      <c r="EF5" s="4"/>
      <c r="EG5" s="4"/>
      <c r="EH5" s="4"/>
      <c r="EI5" s="4"/>
      <c r="EJ5" s="4"/>
      <c r="EK5" s="4"/>
      <c r="EL5" s="4"/>
      <c r="EM5" s="4"/>
      <c r="EN5" s="4"/>
      <c r="EO5" s="4"/>
      <c r="EP5" s="4"/>
      <c r="EQ5" s="4"/>
      <c r="ER5" s="4"/>
      <c r="ES5" s="4"/>
      <c r="ET5" s="4"/>
      <c r="EU5" s="4"/>
      <c r="EV5" s="4"/>
      <c r="EW5" s="4"/>
      <c r="EX5" s="4"/>
      <c r="EY5" s="4"/>
      <c r="EZ5" s="4"/>
      <c r="FA5" s="4"/>
      <c r="FB5" s="4"/>
      <c r="FC5" s="4"/>
      <c r="FD5" s="4"/>
      <c r="FE5" s="4"/>
      <c r="FF5" s="4"/>
      <c r="FG5" s="4"/>
      <c r="FH5" s="4"/>
      <c r="FI5" s="4"/>
      <c r="FJ5" s="4"/>
      <c r="FK5" s="4"/>
      <c r="FL5" s="4"/>
      <c r="FM5" s="4"/>
      <c r="FN5" s="4"/>
      <c r="FO5" s="4"/>
      <c r="FP5" s="4"/>
      <c r="FQ5" s="4"/>
      <c r="FR5" s="4"/>
      <c r="FS5" s="4"/>
      <c r="FT5" s="4"/>
      <c r="FU5" s="4"/>
      <c r="FV5" s="4"/>
      <c r="FW5" s="4"/>
      <c r="FX5" s="4"/>
      <c r="FY5" s="4"/>
      <c r="FZ5" s="4"/>
      <c r="GA5" s="4"/>
      <c r="GB5" s="4"/>
      <c r="GC5" s="4"/>
      <c r="GD5" s="4"/>
      <c r="GE5" s="4"/>
      <c r="GF5" s="4"/>
      <c r="GG5" s="4"/>
    </row>
    <row r="6" spans="1:189" outlineLevel="1">
      <c r="A6" s="110"/>
      <c r="B6" s="110" t="s">
        <v>1080</v>
      </c>
      <c r="C6" s="110">
        <v>2</v>
      </c>
      <c r="D6" s="3" t="s">
        <v>1083</v>
      </c>
      <c r="E6" s="175"/>
      <c r="F6" s="175" t="s">
        <v>1084</v>
      </c>
      <c r="G6" s="175"/>
      <c r="H6" s="175"/>
      <c r="I6" s="175"/>
      <c r="J6" s="175"/>
      <c r="K6" s="175"/>
      <c r="L6" s="175"/>
      <c r="M6" s="176">
        <v>43375</v>
      </c>
      <c r="N6" s="176">
        <v>43397</v>
      </c>
      <c r="O6" s="175"/>
      <c r="P6" s="177">
        <v>6</v>
      </c>
      <c r="Q6" s="177">
        <v>5</v>
      </c>
      <c r="R6" s="178">
        <v>15</v>
      </c>
      <c r="S6" s="178">
        <v>7</v>
      </c>
      <c r="T6" s="176"/>
      <c r="U6" s="176"/>
      <c r="V6" s="179">
        <v>0</v>
      </c>
      <c r="W6" s="180">
        <v>0</v>
      </c>
      <c r="X6" s="181"/>
      <c r="Y6" s="175"/>
      <c r="Z6" s="182"/>
      <c r="AA6" s="94">
        <v>0.83333333333333337</v>
      </c>
      <c r="AB6" s="183">
        <v>0.83333333333333337</v>
      </c>
      <c r="AC6" s="116"/>
      <c r="AD6" s="4"/>
      <c r="AE6" s="4"/>
      <c r="AF6" s="4" t="str">
        <f>"" &amp; TEXT(AB6,"#0.00%") &amp; " " &amp; "프로젝트 착수 및 계획수립" &amp; " " &amp; IF(M6="","",TEXT(M6,"M/D-")) &amp; IF(N6="","",TEXT(N6,"M/D")) &amp; " "</f>
        <v xml:space="preserve">83.33% 프로젝트 착수 및 계획수립 10/2-10/24 </v>
      </c>
      <c r="AG6" s="4"/>
      <c r="AH6" s="4"/>
      <c r="AI6" s="4"/>
      <c r="AJ6" s="4"/>
      <c r="AK6" s="4"/>
      <c r="AL6" s="4"/>
      <c r="AM6" s="4"/>
      <c r="AN6" s="4"/>
      <c r="AO6" s="4"/>
      <c r="AP6" s="4"/>
      <c r="AQ6" s="4"/>
      <c r="AR6" s="4"/>
      <c r="AS6" s="4"/>
      <c r="AT6" s="4"/>
      <c r="AU6" s="4"/>
      <c r="AV6" s="4"/>
      <c r="AW6" s="4"/>
      <c r="AX6" s="4"/>
      <c r="AY6" s="4"/>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4"/>
      <c r="CR6" s="4"/>
      <c r="CS6" s="4"/>
      <c r="CT6" s="4"/>
      <c r="CU6" s="4"/>
      <c r="CV6" s="4"/>
      <c r="CW6" s="4"/>
      <c r="CX6" s="4"/>
      <c r="CY6" s="4"/>
      <c r="CZ6" s="4"/>
      <c r="DA6" s="4"/>
      <c r="DB6" s="4"/>
      <c r="DC6" s="4"/>
      <c r="DD6" s="4"/>
      <c r="DE6" s="4"/>
      <c r="DF6" s="4"/>
      <c r="DG6" s="4"/>
      <c r="DH6" s="4"/>
      <c r="DI6" s="4"/>
      <c r="DJ6" s="4"/>
      <c r="DK6" s="4"/>
      <c r="DL6" s="4"/>
      <c r="DM6" s="4"/>
      <c r="DN6" s="4"/>
      <c r="DO6" s="4"/>
      <c r="DP6" s="4"/>
      <c r="DQ6" s="4"/>
      <c r="DR6" s="4"/>
      <c r="DS6" s="4"/>
      <c r="DT6" s="4"/>
      <c r="DU6" s="4"/>
      <c r="DV6" s="4"/>
      <c r="DW6" s="4"/>
      <c r="DX6" s="4"/>
      <c r="DY6" s="4"/>
      <c r="DZ6" s="4"/>
      <c r="EA6" s="4"/>
      <c r="EB6" s="4"/>
      <c r="EC6" s="4"/>
      <c r="ED6" s="4"/>
      <c r="EE6" s="4"/>
      <c r="EF6" s="4"/>
      <c r="EG6" s="4"/>
      <c r="EH6" s="4"/>
      <c r="EI6" s="4"/>
      <c r="EJ6" s="4"/>
      <c r="EK6" s="4"/>
      <c r="EL6" s="4"/>
      <c r="EM6" s="4"/>
      <c r="EN6" s="4"/>
      <c r="EO6" s="4"/>
      <c r="EP6" s="4"/>
      <c r="EQ6" s="4"/>
      <c r="ER6" s="4"/>
      <c r="ES6" s="4"/>
      <c r="ET6" s="4"/>
      <c r="EU6" s="4"/>
      <c r="EV6" s="4"/>
      <c r="EW6" s="4"/>
      <c r="EX6" s="4"/>
      <c r="EY6" s="4"/>
      <c r="EZ6" s="4"/>
      <c r="FA6" s="4"/>
      <c r="FB6" s="4"/>
      <c r="FC6" s="4"/>
      <c r="FD6" s="4"/>
      <c r="FE6" s="4"/>
      <c r="FF6" s="4"/>
      <c r="FG6" s="4"/>
      <c r="FH6" s="4"/>
      <c r="FI6" s="4"/>
      <c r="FJ6" s="4"/>
      <c r="FK6" s="4"/>
      <c r="FL6" s="4"/>
      <c r="FM6" s="4"/>
      <c r="FN6" s="4"/>
      <c r="FO6" s="4"/>
      <c r="FP6" s="4"/>
      <c r="FQ6" s="4"/>
      <c r="FR6" s="4"/>
      <c r="FS6" s="4"/>
      <c r="FT6" s="4"/>
      <c r="FU6" s="4"/>
      <c r="FV6" s="4"/>
      <c r="FW6" s="4"/>
      <c r="FX6" s="4"/>
      <c r="FY6" s="4"/>
      <c r="FZ6" s="4"/>
      <c r="GA6" s="4"/>
      <c r="GB6" s="4"/>
      <c r="GC6" s="4"/>
      <c r="GD6" s="4"/>
      <c r="GE6" s="4"/>
      <c r="GF6" s="4"/>
      <c r="GG6" s="4"/>
    </row>
    <row r="7" spans="1:189" outlineLevel="2">
      <c r="A7" s="110"/>
      <c r="B7" s="110"/>
      <c r="C7" s="110">
        <v>3</v>
      </c>
      <c r="D7" s="3" t="s">
        <v>976</v>
      </c>
      <c r="E7" s="175"/>
      <c r="F7" s="175"/>
      <c r="G7" s="175" t="s">
        <v>977</v>
      </c>
      <c r="H7" s="175"/>
      <c r="I7" s="175"/>
      <c r="J7" s="175"/>
      <c r="K7" s="175"/>
      <c r="L7" s="175"/>
      <c r="M7" s="176">
        <v>43375</v>
      </c>
      <c r="N7" s="176">
        <v>43376</v>
      </c>
      <c r="O7" s="175"/>
      <c r="P7" s="177">
        <v>1</v>
      </c>
      <c r="Q7" s="177">
        <v>1</v>
      </c>
      <c r="R7" s="178">
        <v>1</v>
      </c>
      <c r="S7" s="178">
        <v>1</v>
      </c>
      <c r="T7" s="176">
        <v>43305</v>
      </c>
      <c r="U7" s="176">
        <v>43306</v>
      </c>
      <c r="V7" s="179">
        <v>2</v>
      </c>
      <c r="W7" s="180">
        <v>2</v>
      </c>
      <c r="X7" s="181">
        <v>1</v>
      </c>
      <c r="Y7" s="175" t="s">
        <v>978</v>
      </c>
      <c r="Z7" s="182"/>
      <c r="AA7" s="94">
        <v>1</v>
      </c>
      <c r="AB7" s="183">
        <v>1</v>
      </c>
      <c r="AC7" s="116" t="str">
        <f>"    " &amp; TEXT(AB7,"#0.00%") &amp; " " &amp; "프로젝트 착수" &amp; "(홍길동)" &amp; " " &amp; IF(M7="","",TEXT(M7,"M/D-")) &amp; IF(N7="","",TEXT(N7,"M/D")) &amp; " "</f>
        <v xml:space="preserve">    100.00% 프로젝트 착수(홍길동) 10/2-10/3 </v>
      </c>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4"/>
      <c r="CR7" s="4"/>
      <c r="CS7" s="4"/>
      <c r="CT7" s="4"/>
      <c r="CU7" s="4"/>
      <c r="CV7" s="4"/>
      <c r="CW7" s="4"/>
      <c r="CX7" s="4"/>
      <c r="CY7" s="4"/>
      <c r="CZ7" s="4"/>
      <c r="DA7" s="4"/>
      <c r="DB7" s="4"/>
      <c r="DC7" s="4"/>
      <c r="DD7" s="4"/>
      <c r="DE7" s="4"/>
      <c r="DF7" s="4"/>
      <c r="DG7" s="4"/>
      <c r="DH7" s="4"/>
      <c r="DI7" s="4"/>
      <c r="DJ7" s="4"/>
      <c r="DK7" s="4"/>
      <c r="DL7" s="4"/>
      <c r="DM7" s="4"/>
      <c r="DN7" s="4"/>
      <c r="DO7" s="4"/>
      <c r="DP7" s="4"/>
      <c r="DQ7" s="4"/>
      <c r="DR7" s="4"/>
      <c r="DS7" s="4"/>
      <c r="DT7" s="4"/>
      <c r="DU7" s="4"/>
      <c r="DV7" s="4"/>
      <c r="DW7" s="4"/>
      <c r="DX7" s="4"/>
      <c r="DY7" s="4"/>
      <c r="DZ7" s="4"/>
      <c r="EA7" s="4"/>
      <c r="EB7" s="4"/>
      <c r="EC7" s="4"/>
      <c r="ED7" s="4"/>
      <c r="EE7" s="4"/>
      <c r="EF7" s="4"/>
      <c r="EG7" s="4"/>
      <c r="EH7" s="4"/>
      <c r="EI7" s="4"/>
      <c r="EJ7" s="4"/>
      <c r="EK7" s="4"/>
      <c r="EL7" s="4"/>
      <c r="EM7" s="4"/>
      <c r="EN7" s="4"/>
      <c r="EO7" s="4"/>
      <c r="EP7" s="4"/>
      <c r="EQ7" s="4"/>
      <c r="ER7" s="4"/>
      <c r="ES7" s="4"/>
      <c r="ET7" s="4"/>
      <c r="EU7" s="4"/>
      <c r="EV7" s="4"/>
      <c r="EW7" s="4"/>
      <c r="EX7" s="4"/>
      <c r="EY7" s="4"/>
      <c r="EZ7" s="4"/>
      <c r="FA7" s="4"/>
      <c r="FB7" s="4"/>
      <c r="FC7" s="4"/>
      <c r="FD7" s="4"/>
      <c r="FE7" s="4"/>
      <c r="FF7" s="4"/>
      <c r="FG7" s="4"/>
      <c r="FH7" s="4"/>
      <c r="FI7" s="4"/>
      <c r="FJ7" s="4"/>
      <c r="FK7" s="4"/>
      <c r="FL7" s="4"/>
      <c r="FM7" s="4"/>
      <c r="FN7" s="4"/>
      <c r="FO7" s="4"/>
      <c r="FP7" s="4"/>
      <c r="FQ7" s="4"/>
      <c r="FR7" s="4"/>
      <c r="FS7" s="4"/>
      <c r="FT7" s="4"/>
      <c r="FU7" s="4"/>
      <c r="FV7" s="4"/>
      <c r="FW7" s="4"/>
      <c r="FX7" s="4"/>
      <c r="FY7" s="4"/>
      <c r="FZ7" s="4"/>
      <c r="GA7" s="4"/>
      <c r="GB7" s="4"/>
      <c r="GC7" s="4"/>
      <c r="GD7" s="4"/>
      <c r="GE7" s="4"/>
      <c r="GF7" s="4"/>
      <c r="GG7" s="4"/>
    </row>
    <row r="8" spans="1:189" outlineLevel="2">
      <c r="A8" s="110"/>
      <c r="B8" s="110" t="s">
        <v>1080</v>
      </c>
      <c r="C8" s="110">
        <v>3</v>
      </c>
      <c r="D8" s="3" t="s">
        <v>1085</v>
      </c>
      <c r="E8" s="175"/>
      <c r="F8" s="175"/>
      <c r="G8" s="175" t="s">
        <v>1086</v>
      </c>
      <c r="H8" s="175"/>
      <c r="I8" s="175"/>
      <c r="J8" s="175"/>
      <c r="K8" s="175"/>
      <c r="L8" s="175"/>
      <c r="M8" s="176">
        <v>43379</v>
      </c>
      <c r="N8" s="176">
        <v>43397</v>
      </c>
      <c r="O8" s="175"/>
      <c r="P8" s="177">
        <v>5</v>
      </c>
      <c r="Q8" s="177">
        <v>4</v>
      </c>
      <c r="R8" s="178">
        <v>12</v>
      </c>
      <c r="S8" s="178">
        <v>4</v>
      </c>
      <c r="T8" s="176"/>
      <c r="U8" s="176"/>
      <c r="V8" s="179">
        <v>0</v>
      </c>
      <c r="W8" s="180">
        <v>0</v>
      </c>
      <c r="X8" s="181"/>
      <c r="Y8" s="175" t="s">
        <v>1087</v>
      </c>
      <c r="Z8" s="182"/>
      <c r="AA8" s="94">
        <v>0.8</v>
      </c>
      <c r="AB8" s="183">
        <v>0.8</v>
      </c>
      <c r="AC8" s="116"/>
      <c r="AD8" s="4"/>
      <c r="AE8" s="4"/>
      <c r="AF8" s="4" t="str">
        <f>"" &amp; TEXT(AB8,"#0.00%") &amp; " " &amp; "프로젝트 범위정의" &amp; "(홍길동,김길동,이길동)" &amp; " " &amp; IF(M8="","",TEXT(M8,"M/D-")) &amp; IF(N8="","",TEXT(N8,"M/D")) &amp; " "</f>
        <v xml:space="preserve">80.00% 프로젝트 범위정의(홍길동,김길동,이길동) 10/6-10/24 </v>
      </c>
      <c r="AG8" s="4"/>
      <c r="AH8" s="4"/>
      <c r="AI8" s="4"/>
      <c r="AJ8" s="4"/>
      <c r="AK8" s="4"/>
      <c r="AL8" s="4"/>
      <c r="AM8" s="4"/>
      <c r="AN8" s="4"/>
      <c r="AO8" s="4"/>
      <c r="AP8" s="4"/>
      <c r="AQ8" s="4"/>
      <c r="AR8" s="4"/>
      <c r="AS8" s="4"/>
      <c r="AT8" s="4"/>
      <c r="AU8" s="4"/>
      <c r="AV8" s="4"/>
      <c r="AW8" s="4"/>
      <c r="AX8" s="4"/>
      <c r="AY8" s="4"/>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4"/>
      <c r="CR8" s="4"/>
      <c r="CS8" s="4"/>
      <c r="CT8" s="4"/>
      <c r="CU8" s="4"/>
      <c r="CV8" s="4"/>
      <c r="CW8" s="4"/>
      <c r="CX8" s="4"/>
      <c r="CY8" s="4"/>
      <c r="CZ8" s="4"/>
      <c r="DA8" s="4"/>
      <c r="DB8" s="4"/>
      <c r="DC8" s="4"/>
      <c r="DD8" s="4"/>
      <c r="DE8" s="4"/>
      <c r="DF8" s="4"/>
      <c r="DG8" s="4"/>
      <c r="DH8" s="4"/>
      <c r="DI8" s="4"/>
      <c r="DJ8" s="4"/>
      <c r="DK8" s="4"/>
      <c r="DL8" s="4"/>
      <c r="DM8" s="4"/>
      <c r="DN8" s="4"/>
      <c r="DO8" s="4"/>
      <c r="DP8" s="4"/>
      <c r="DQ8" s="4"/>
      <c r="DR8" s="4"/>
      <c r="DS8" s="4"/>
      <c r="DT8" s="4"/>
      <c r="DU8" s="4"/>
      <c r="DV8" s="4"/>
      <c r="DW8" s="4"/>
      <c r="DX8" s="4"/>
      <c r="DY8" s="4"/>
      <c r="DZ8" s="4"/>
      <c r="EA8" s="4"/>
      <c r="EB8" s="4"/>
      <c r="EC8" s="4"/>
      <c r="ED8" s="4"/>
      <c r="EE8" s="4"/>
      <c r="EF8" s="4"/>
      <c r="EG8" s="4"/>
      <c r="EH8" s="4"/>
      <c r="EI8" s="4"/>
      <c r="EJ8" s="4"/>
      <c r="EK8" s="4"/>
      <c r="EL8" s="4"/>
      <c r="EM8" s="4"/>
      <c r="EN8" s="4"/>
      <c r="EO8" s="4"/>
      <c r="EP8" s="4"/>
      <c r="EQ8" s="4"/>
      <c r="ER8" s="4"/>
      <c r="ES8" s="4"/>
      <c r="ET8" s="4"/>
      <c r="EU8" s="4"/>
      <c r="EV8" s="4"/>
      <c r="EW8" s="4"/>
      <c r="EX8" s="4"/>
      <c r="EY8" s="4"/>
      <c r="EZ8" s="4"/>
      <c r="FA8" s="4"/>
      <c r="FB8" s="4"/>
      <c r="FC8" s="4"/>
      <c r="FD8" s="4"/>
      <c r="FE8" s="4"/>
      <c r="FF8" s="4"/>
      <c r="FG8" s="4"/>
      <c r="FH8" s="4"/>
      <c r="FI8" s="4"/>
      <c r="FJ8" s="4"/>
      <c r="FK8" s="4"/>
      <c r="FL8" s="4"/>
      <c r="FM8" s="4"/>
      <c r="FN8" s="4"/>
      <c r="FO8" s="4"/>
      <c r="FP8" s="4"/>
      <c r="FQ8" s="4"/>
      <c r="FR8" s="4"/>
      <c r="FS8" s="4"/>
      <c r="FT8" s="4"/>
      <c r="FU8" s="4"/>
      <c r="FV8" s="4"/>
      <c r="FW8" s="4"/>
      <c r="FX8" s="4"/>
      <c r="FY8" s="4"/>
      <c r="FZ8" s="4"/>
      <c r="GA8" s="4"/>
      <c r="GB8" s="4"/>
      <c r="GC8" s="4"/>
      <c r="GD8" s="4"/>
      <c r="GE8" s="4"/>
      <c r="GF8" s="4"/>
      <c r="GG8" s="4"/>
    </row>
    <row r="9" spans="1:189" outlineLevel="3">
      <c r="A9" s="110"/>
      <c r="B9" s="110"/>
      <c r="C9" s="110">
        <v>4</v>
      </c>
      <c r="D9" s="3" t="s">
        <v>979</v>
      </c>
      <c r="E9" s="175"/>
      <c r="F9" s="175"/>
      <c r="G9" s="175"/>
      <c r="H9" s="175" t="s">
        <v>980</v>
      </c>
      <c r="I9" s="175"/>
      <c r="J9" s="175"/>
      <c r="K9" s="175"/>
      <c r="L9" s="175"/>
      <c r="M9" s="176">
        <v>43379</v>
      </c>
      <c r="N9" s="176">
        <v>43385</v>
      </c>
      <c r="O9" s="175"/>
      <c r="P9" s="177">
        <v>4</v>
      </c>
      <c r="Q9" s="177">
        <v>4</v>
      </c>
      <c r="R9" s="178">
        <v>4</v>
      </c>
      <c r="S9" s="178">
        <v>4</v>
      </c>
      <c r="T9" s="176">
        <v>43309</v>
      </c>
      <c r="U9" s="176">
        <v>43315</v>
      </c>
      <c r="V9" s="179">
        <v>5</v>
      </c>
      <c r="W9" s="180">
        <v>5</v>
      </c>
      <c r="X9" s="181">
        <v>1</v>
      </c>
      <c r="Y9" s="175" t="s">
        <v>1087</v>
      </c>
      <c r="Z9" s="182" t="s">
        <v>1088</v>
      </c>
      <c r="AA9" s="94">
        <v>1</v>
      </c>
      <c r="AB9" s="183">
        <v>1</v>
      </c>
      <c r="AC9" s="116"/>
      <c r="AD9" s="4" t="str">
        <f>"      " &amp; TEXT(AB9,"#0.00%") &amp; " " &amp; "프로젝트 계획 수립" &amp; "(홍길동,김길동,이길동)" &amp; " " &amp; IF(M9="","",TEXT(M9,"M/D-")) &amp; IF(N9="","",TEXT(N9,"M/D")) &amp; " "</f>
        <v xml:space="preserve">      100.00% 프로젝트 계획 수립(홍길동,김길동,이길동) 10/6-10/12 </v>
      </c>
      <c r="AE9" s="4"/>
      <c r="AF9" s="4"/>
      <c r="AG9" s="4"/>
      <c r="AH9" s="4"/>
      <c r="AI9" s="4"/>
      <c r="AJ9" s="4"/>
      <c r="AK9" s="4"/>
      <c r="AL9" s="4"/>
      <c r="AM9" s="4"/>
      <c r="AN9" s="4"/>
      <c r="AO9" s="4"/>
      <c r="AP9" s="4"/>
      <c r="AQ9" s="4"/>
      <c r="AR9" s="4"/>
      <c r="AS9" s="4"/>
      <c r="AT9" s="4"/>
      <c r="AU9" s="4"/>
      <c r="AV9" s="4"/>
      <c r="AW9" s="4"/>
      <c r="AX9" s="4"/>
      <c r="AY9" s="4"/>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4"/>
      <c r="CR9" s="4"/>
      <c r="CS9" s="4"/>
      <c r="CT9" s="4"/>
      <c r="CU9" s="4"/>
      <c r="CV9" s="4"/>
      <c r="CW9" s="4"/>
      <c r="CX9" s="4"/>
      <c r="CY9" s="4"/>
      <c r="CZ9" s="4"/>
      <c r="DA9" s="4"/>
      <c r="DB9" s="4"/>
      <c r="DC9" s="4"/>
      <c r="DD9" s="4"/>
      <c r="DE9" s="4"/>
      <c r="DF9" s="4"/>
      <c r="DG9" s="4"/>
      <c r="DH9" s="4"/>
      <c r="DI9" s="4"/>
      <c r="DJ9" s="4"/>
      <c r="DK9" s="4"/>
      <c r="DL9" s="4"/>
      <c r="DM9" s="4"/>
      <c r="DN9" s="4"/>
      <c r="DO9" s="4"/>
      <c r="DP9" s="4"/>
      <c r="DQ9" s="4"/>
      <c r="DR9" s="4"/>
      <c r="DS9" s="4"/>
      <c r="DT9" s="4"/>
      <c r="DU9" s="4"/>
      <c r="DV9" s="4"/>
      <c r="DW9" s="4"/>
      <c r="DX9" s="4"/>
      <c r="DY9" s="4"/>
      <c r="DZ9" s="4"/>
      <c r="EA9" s="4"/>
      <c r="EB9" s="4"/>
      <c r="EC9" s="4"/>
      <c r="ED9" s="4"/>
      <c r="EE9" s="4"/>
      <c r="EF9" s="4"/>
      <c r="EG9" s="4"/>
      <c r="EH9" s="4"/>
      <c r="EI9" s="4"/>
      <c r="EJ9" s="4"/>
      <c r="EK9" s="4"/>
      <c r="EL9" s="4"/>
      <c r="EM9" s="4"/>
      <c r="EN9" s="4"/>
      <c r="EO9" s="4"/>
      <c r="EP9" s="4"/>
      <c r="EQ9" s="4"/>
      <c r="ER9" s="4"/>
      <c r="ES9" s="4"/>
      <c r="ET9" s="4"/>
      <c r="EU9" s="4"/>
      <c r="EV9" s="4"/>
      <c r="EW9" s="4"/>
      <c r="EX9" s="4"/>
      <c r="EY9" s="4"/>
      <c r="EZ9" s="4"/>
      <c r="FA9" s="4"/>
      <c r="FB9" s="4"/>
      <c r="FC9" s="4"/>
      <c r="FD9" s="4"/>
      <c r="FE9" s="4"/>
      <c r="FF9" s="4"/>
      <c r="FG9" s="4"/>
      <c r="FH9" s="4"/>
      <c r="FI9" s="4"/>
      <c r="FJ9" s="4"/>
      <c r="FK9" s="4"/>
      <c r="FL9" s="4"/>
      <c r="FM9" s="4"/>
      <c r="FN9" s="4"/>
      <c r="FO9" s="4"/>
      <c r="FP9" s="4"/>
      <c r="FQ9" s="4"/>
      <c r="FR9" s="4"/>
      <c r="FS9" s="4"/>
      <c r="FT9" s="4"/>
      <c r="FU9" s="4"/>
      <c r="FV9" s="4"/>
      <c r="FW9" s="4"/>
      <c r="FX9" s="4"/>
      <c r="FY9" s="4"/>
      <c r="FZ9" s="4"/>
      <c r="GA9" s="4"/>
      <c r="GB9" s="4"/>
      <c r="GC9" s="4"/>
      <c r="GD9" s="4"/>
      <c r="GE9" s="4"/>
      <c r="GF9" s="4"/>
      <c r="GG9" s="4"/>
    </row>
    <row r="10" spans="1:189" outlineLevel="3">
      <c r="A10" s="110"/>
      <c r="B10" s="110"/>
      <c r="C10" s="110">
        <v>4</v>
      </c>
      <c r="D10" s="3" t="s">
        <v>983</v>
      </c>
      <c r="E10" s="175"/>
      <c r="F10" s="175"/>
      <c r="G10" s="175"/>
      <c r="H10" s="175" t="s">
        <v>984</v>
      </c>
      <c r="I10" s="175"/>
      <c r="J10" s="175"/>
      <c r="K10" s="175"/>
      <c r="L10" s="175"/>
      <c r="M10" s="176">
        <v>43397</v>
      </c>
      <c r="N10" s="176">
        <v>43397</v>
      </c>
      <c r="O10" s="175"/>
      <c r="P10" s="177">
        <v>1</v>
      </c>
      <c r="Q10" s="177">
        <v>0</v>
      </c>
      <c r="R10" s="178">
        <v>1</v>
      </c>
      <c r="S10" s="178">
        <v>0</v>
      </c>
      <c r="T10" s="176"/>
      <c r="U10" s="176"/>
      <c r="V10" s="179"/>
      <c r="W10" s="180">
        <v>0</v>
      </c>
      <c r="X10" s="181">
        <v>1</v>
      </c>
      <c r="Y10" s="175" t="s">
        <v>978</v>
      </c>
      <c r="Z10" s="182"/>
      <c r="AA10" s="94">
        <v>0</v>
      </c>
      <c r="AB10" s="183">
        <v>0</v>
      </c>
      <c r="AC10" s="116"/>
      <c r="AD10" s="4"/>
      <c r="AE10" s="4"/>
      <c r="AF10" s="4" t="str">
        <f>"   " &amp; TEXT(AB10,"#0.00%") &amp; " " &amp; "착수보고(Kick off)" &amp; "(홍길동)" &amp; " " &amp; IF(M10="","",TEXT(M10,"M/D-")) &amp; IF(N10="","",TEXT(N10,"M/D")) &amp; " "</f>
        <v xml:space="preserve">   0.00% 착수보고(Kick off)(홍길동) 10/24-10/24 </v>
      </c>
      <c r="AG10" s="4"/>
      <c r="AH10" s="4"/>
      <c r="AI10" s="4"/>
      <c r="AJ10" s="4"/>
      <c r="AK10" s="4"/>
      <c r="AL10" s="4"/>
      <c r="AM10" s="4"/>
      <c r="AN10" s="4"/>
      <c r="AO10" s="4"/>
      <c r="AP10" s="4"/>
      <c r="AQ10" s="4"/>
      <c r="AR10" s="4"/>
      <c r="AS10" s="4"/>
      <c r="AT10" s="4"/>
      <c r="AU10" s="4"/>
      <c r="AV10" s="4"/>
      <c r="AW10" s="4"/>
      <c r="AX10" s="4"/>
      <c r="AY10" s="4"/>
      <c r="AZ10" s="4"/>
      <c r="BA10" s="4"/>
      <c r="BB10" s="4"/>
      <c r="BC10" s="4"/>
      <c r="BD10" s="4"/>
      <c r="BE10" s="4"/>
      <c r="BF10" s="4"/>
      <c r="BG10" s="4"/>
      <c r="BH10" s="4"/>
      <c r="BI10" s="4"/>
      <c r="BJ10" s="4"/>
      <c r="BK10" s="4"/>
      <c r="BL10" s="4"/>
      <c r="BM10" s="4"/>
      <c r="BN10" s="4"/>
      <c r="BO10" s="4"/>
      <c r="BP10" s="4"/>
      <c r="BQ10" s="4"/>
      <c r="BR10" s="4"/>
      <c r="BS10" s="4"/>
      <c r="BT10" s="4"/>
      <c r="BU10" s="4"/>
      <c r="BV10" s="4"/>
      <c r="BW10" s="4"/>
      <c r="BX10" s="4"/>
      <c r="BY10" s="4"/>
      <c r="BZ10" s="4"/>
      <c r="CA10" s="4"/>
      <c r="CB10" s="4"/>
      <c r="CC10" s="4"/>
      <c r="CD10" s="4"/>
      <c r="CE10" s="4"/>
      <c r="CF10" s="4"/>
      <c r="CG10" s="4"/>
      <c r="CH10" s="4"/>
      <c r="CI10" s="4"/>
      <c r="CJ10" s="4"/>
      <c r="CK10" s="4"/>
      <c r="CL10" s="4"/>
      <c r="CM10" s="4"/>
      <c r="CN10" s="4"/>
      <c r="CO10" s="4"/>
      <c r="CP10" s="4"/>
      <c r="CQ10" s="4"/>
      <c r="CR10" s="4"/>
      <c r="CS10" s="4"/>
      <c r="CT10" s="4"/>
      <c r="CU10" s="4"/>
      <c r="CV10" s="4"/>
      <c r="CW10" s="4"/>
      <c r="CX10" s="4"/>
      <c r="CY10" s="4"/>
      <c r="CZ10" s="4"/>
      <c r="DA10" s="4"/>
      <c r="DB10" s="4"/>
      <c r="DC10" s="4"/>
      <c r="DD10" s="4"/>
      <c r="DE10" s="4"/>
      <c r="DF10" s="4"/>
      <c r="DG10" s="4"/>
      <c r="DH10" s="4"/>
      <c r="DI10" s="4"/>
      <c r="DJ10" s="4"/>
      <c r="DK10" s="4"/>
      <c r="DL10" s="4"/>
      <c r="DM10" s="4"/>
      <c r="DN10" s="4"/>
      <c r="DO10" s="4"/>
      <c r="DP10" s="4"/>
      <c r="DQ10" s="4"/>
      <c r="DR10" s="4"/>
      <c r="DS10" s="4"/>
      <c r="DT10" s="4"/>
      <c r="DU10" s="4"/>
      <c r="DV10" s="4"/>
      <c r="DW10" s="4"/>
      <c r="DX10" s="4"/>
      <c r="DY10" s="4"/>
      <c r="DZ10" s="4"/>
      <c r="EA10" s="4"/>
      <c r="EB10" s="4"/>
      <c r="EC10" s="4"/>
      <c r="ED10" s="4"/>
      <c r="EE10" s="4"/>
      <c r="EF10" s="4"/>
      <c r="EG10" s="4"/>
      <c r="EH10" s="4"/>
      <c r="EI10" s="4"/>
      <c r="EJ10" s="4"/>
      <c r="EK10" s="4"/>
      <c r="EL10" s="4"/>
      <c r="EM10" s="4"/>
      <c r="EN10" s="4"/>
      <c r="EO10" s="4"/>
      <c r="EP10" s="4"/>
      <c r="EQ10" s="4"/>
      <c r="ER10" s="4"/>
      <c r="ES10" s="4"/>
      <c r="ET10" s="4"/>
      <c r="EU10" s="4"/>
      <c r="EV10" s="4"/>
      <c r="EW10" s="4"/>
      <c r="EX10" s="4"/>
      <c r="EY10" s="4"/>
      <c r="EZ10" s="4"/>
      <c r="FA10" s="4"/>
      <c r="FB10" s="4"/>
      <c r="FC10" s="4"/>
      <c r="FD10" s="4"/>
      <c r="FE10" s="4"/>
      <c r="FF10" s="4"/>
      <c r="FG10" s="4"/>
      <c r="FH10" s="4"/>
      <c r="FI10" s="4"/>
      <c r="FJ10" s="4"/>
      <c r="FK10" s="4"/>
      <c r="FL10" s="4"/>
      <c r="FM10" s="4"/>
      <c r="FN10" s="4"/>
      <c r="FO10" s="4"/>
      <c r="FP10" s="4"/>
      <c r="FQ10" s="4"/>
      <c r="FR10" s="4"/>
      <c r="FS10" s="4"/>
      <c r="FT10" s="4"/>
      <c r="FU10" s="4"/>
      <c r="FV10" s="4"/>
      <c r="FW10" s="4"/>
      <c r="FX10" s="4"/>
      <c r="FY10" s="4"/>
      <c r="FZ10" s="4"/>
      <c r="GA10" s="4"/>
      <c r="GB10" s="4"/>
      <c r="GC10" s="4"/>
      <c r="GD10" s="4"/>
      <c r="GE10" s="4"/>
      <c r="GF10" s="4"/>
      <c r="GG10" s="4"/>
    </row>
    <row r="11" spans="1:189" outlineLevel="1">
      <c r="A11" s="110"/>
      <c r="B11" s="110" t="s">
        <v>1080</v>
      </c>
      <c r="C11" s="110">
        <v>2</v>
      </c>
      <c r="D11" s="3" t="s">
        <v>1089</v>
      </c>
      <c r="E11" s="175"/>
      <c r="F11" s="175" t="s">
        <v>1090</v>
      </c>
      <c r="G11" s="175"/>
      <c r="H11" s="175"/>
      <c r="I11" s="175"/>
      <c r="J11" s="175"/>
      <c r="K11" s="175"/>
      <c r="L11" s="175"/>
      <c r="M11" s="176">
        <v>43397</v>
      </c>
      <c r="N11" s="176">
        <v>43493</v>
      </c>
      <c r="O11" s="175"/>
      <c r="P11" s="177">
        <v>23</v>
      </c>
      <c r="Q11" s="177">
        <v>0</v>
      </c>
      <c r="R11" s="178">
        <v>67</v>
      </c>
      <c r="S11" s="178">
        <v>0</v>
      </c>
      <c r="T11" s="176"/>
      <c r="U11" s="176"/>
      <c r="V11" s="179">
        <v>0</v>
      </c>
      <c r="W11" s="180">
        <v>0</v>
      </c>
      <c r="X11" s="181"/>
      <c r="Y11" s="175"/>
      <c r="Z11" s="182"/>
      <c r="AA11" s="94">
        <v>0</v>
      </c>
      <c r="AB11" s="183">
        <v>0</v>
      </c>
      <c r="AC11" s="116"/>
      <c r="AD11" s="4"/>
      <c r="AE11" s="4"/>
      <c r="AF11" s="4" t="str">
        <f>"   " &amp; TEXT(AB11,"#0.00%") &amp; " "</f>
        <v xml:space="preserve">   0.00% </v>
      </c>
      <c r="AG11" s="4"/>
      <c r="AH11" s="4"/>
      <c r="AI11" s="4"/>
      <c r="AJ11" s="4"/>
      <c r="AK11" s="4"/>
      <c r="AL11" s="4"/>
      <c r="AM11" s="4"/>
      <c r="AN11" s="4"/>
      <c r="AO11" s="4"/>
      <c r="AP11" s="4"/>
      <c r="AQ11" s="4"/>
      <c r="AR11" s="4"/>
      <c r="AS11" s="4"/>
      <c r="AT11" s="4" t="str">
        <f>"  " &amp; "프로젝트 수행 및 통제" &amp; " " &amp; IF(M11="","",TEXT(M11,"M/D-")) &amp; IF(N11="","",TEXT(N11,"M/D")) &amp; " "</f>
        <v xml:space="preserve">  프로젝트 수행 및 통제 10/24-1/28 </v>
      </c>
      <c r="AU11" s="4"/>
      <c r="AV11" s="4"/>
      <c r="AW11" s="4"/>
      <c r="AX11" s="4"/>
      <c r="AY11" s="4"/>
      <c r="AZ11" s="4"/>
      <c r="BA11" s="4"/>
      <c r="BB11" s="4"/>
      <c r="BC11" s="4"/>
      <c r="BD11" s="4"/>
      <c r="BE11" s="4"/>
      <c r="BF11" s="4"/>
      <c r="BG11" s="4"/>
      <c r="BH11" s="4"/>
      <c r="BI11" s="4"/>
      <c r="BJ11" s="4"/>
      <c r="BK11" s="4"/>
      <c r="BL11" s="4"/>
      <c r="BM11" s="4"/>
      <c r="BN11" s="4"/>
      <c r="BO11" s="4"/>
      <c r="BP11" s="4"/>
      <c r="BQ11" s="4"/>
      <c r="BR11" s="4"/>
      <c r="BS11" s="4"/>
      <c r="BT11" s="4"/>
      <c r="BU11" s="4"/>
      <c r="BV11" s="4"/>
      <c r="BW11" s="4"/>
      <c r="BX11" s="4"/>
      <c r="BY11" s="4"/>
      <c r="BZ11" s="4"/>
      <c r="CA11" s="4"/>
      <c r="CB11" s="4"/>
      <c r="CC11" s="4"/>
      <c r="CD11" s="4"/>
      <c r="CE11" s="4"/>
      <c r="CF11" s="4"/>
      <c r="CG11" s="4"/>
      <c r="CH11" s="4"/>
      <c r="CI11" s="4"/>
      <c r="CJ11" s="4"/>
      <c r="CK11" s="4"/>
      <c r="CL11" s="4"/>
      <c r="CM11" s="4"/>
      <c r="CN11" s="4"/>
      <c r="CO11" s="4"/>
      <c r="CP11" s="4"/>
      <c r="CQ11" s="4"/>
      <c r="CR11" s="4"/>
      <c r="CS11" s="4"/>
      <c r="CT11" s="4"/>
      <c r="CU11" s="4"/>
      <c r="CV11" s="4"/>
      <c r="CW11" s="4"/>
      <c r="CX11" s="4"/>
      <c r="CY11" s="4"/>
      <c r="CZ11" s="4"/>
      <c r="DA11" s="4"/>
      <c r="DB11" s="4"/>
      <c r="DC11" s="4"/>
      <c r="DD11" s="4"/>
      <c r="DE11" s="4"/>
      <c r="DF11" s="4"/>
      <c r="DG11" s="4"/>
      <c r="DH11" s="4"/>
      <c r="DI11" s="4"/>
      <c r="DJ11" s="4"/>
      <c r="DK11" s="4"/>
      <c r="DL11" s="4"/>
      <c r="DM11" s="4"/>
      <c r="DN11" s="4"/>
      <c r="DO11" s="4"/>
      <c r="DP11" s="4"/>
      <c r="DQ11" s="4"/>
      <c r="DR11" s="4"/>
      <c r="DS11" s="4"/>
      <c r="DT11" s="4"/>
      <c r="DU11" s="4"/>
      <c r="DV11" s="4"/>
      <c r="DW11" s="4"/>
      <c r="DX11" s="4"/>
      <c r="DY11" s="4"/>
      <c r="DZ11" s="4"/>
      <c r="EA11" s="4"/>
      <c r="EB11" s="4"/>
      <c r="EC11" s="4"/>
      <c r="ED11" s="4"/>
      <c r="EE11" s="4"/>
      <c r="EF11" s="4"/>
      <c r="EG11" s="4"/>
      <c r="EH11" s="4"/>
      <c r="EI11" s="4"/>
      <c r="EJ11" s="4"/>
      <c r="EK11" s="4"/>
      <c r="EL11" s="4"/>
      <c r="EM11" s="4"/>
      <c r="EN11" s="4"/>
      <c r="EO11" s="4"/>
      <c r="EP11" s="4"/>
      <c r="EQ11" s="4"/>
      <c r="ER11" s="4"/>
      <c r="ES11" s="4"/>
      <c r="ET11" s="4"/>
      <c r="EU11" s="4"/>
      <c r="EV11" s="4"/>
      <c r="EW11" s="4"/>
      <c r="EX11" s="4"/>
      <c r="EY11" s="4"/>
      <c r="EZ11" s="4"/>
      <c r="FA11" s="4"/>
      <c r="FB11" s="4"/>
      <c r="FC11" s="4"/>
      <c r="FD11" s="4"/>
      <c r="FE11" s="4"/>
      <c r="FF11" s="4"/>
      <c r="FG11" s="4"/>
      <c r="FH11" s="4"/>
      <c r="FI11" s="4"/>
      <c r="FJ11" s="4"/>
      <c r="FK11" s="4"/>
      <c r="FL11" s="4"/>
      <c r="FM11" s="4"/>
      <c r="FN11" s="4"/>
      <c r="FO11" s="4"/>
      <c r="FP11" s="4"/>
      <c r="FQ11" s="4"/>
      <c r="FR11" s="4"/>
      <c r="FS11" s="4"/>
      <c r="FT11" s="4"/>
      <c r="FU11" s="4"/>
      <c r="FV11" s="4"/>
      <c r="FW11" s="4"/>
      <c r="FX11" s="4"/>
      <c r="FY11" s="4"/>
      <c r="FZ11" s="4"/>
      <c r="GA11" s="4"/>
      <c r="GB11" s="4"/>
      <c r="GC11" s="4"/>
      <c r="GD11" s="4"/>
      <c r="GE11" s="4"/>
      <c r="GF11" s="4"/>
      <c r="GG11" s="4"/>
    </row>
    <row r="12" spans="1:189" outlineLevel="2">
      <c r="A12" s="110"/>
      <c r="B12" s="110"/>
      <c r="C12" s="110">
        <v>3</v>
      </c>
      <c r="D12" s="3" t="s">
        <v>985</v>
      </c>
      <c r="E12" s="175"/>
      <c r="F12" s="175"/>
      <c r="G12" s="175" t="s">
        <v>986</v>
      </c>
      <c r="H12" s="175"/>
      <c r="I12" s="175"/>
      <c r="J12" s="175"/>
      <c r="K12" s="175"/>
      <c r="L12" s="175"/>
      <c r="M12" s="176">
        <v>43400</v>
      </c>
      <c r="N12" s="176">
        <v>43404</v>
      </c>
      <c r="O12" s="175"/>
      <c r="P12" s="177">
        <v>3</v>
      </c>
      <c r="Q12" s="177">
        <v>0</v>
      </c>
      <c r="R12" s="178">
        <v>3</v>
      </c>
      <c r="S12" s="178">
        <v>0</v>
      </c>
      <c r="T12" s="176">
        <v>43330</v>
      </c>
      <c r="U12" s="176">
        <v>43334</v>
      </c>
      <c r="V12" s="179">
        <v>3</v>
      </c>
      <c r="W12" s="180">
        <v>3</v>
      </c>
      <c r="X12" s="181">
        <v>1</v>
      </c>
      <c r="Y12" s="175" t="s">
        <v>981</v>
      </c>
      <c r="Z12" s="182"/>
      <c r="AA12" s="94">
        <v>0</v>
      </c>
      <c r="AB12" s="183">
        <v>0</v>
      </c>
      <c r="AC12" s="116"/>
      <c r="AD12" s="4"/>
      <c r="AE12" s="4"/>
      <c r="AF12" s="4" t="str">
        <f>"      " &amp; TEXT(AB12,"#0.00%") &amp; " " &amp; "월간보고1" &amp; "(김길동)" &amp; " " &amp; IF(M12="","",TEXT(M12,"M/D-")) &amp; IF(N12="","",TEXT(N12,"M/D")) &amp; " "</f>
        <v xml:space="preserve">      0.00% 월간보고1(김길동) 10/27-10/31 </v>
      </c>
      <c r="AG12" s="4"/>
      <c r="AH12" s="4"/>
      <c r="AI12" s="4"/>
      <c r="AJ12" s="4"/>
      <c r="AK12" s="4"/>
      <c r="AL12" s="4"/>
      <c r="AM12" s="4"/>
      <c r="AN12" s="4"/>
      <c r="AO12" s="4"/>
      <c r="AP12" s="4"/>
      <c r="AQ12" s="4"/>
      <c r="AR12" s="4"/>
      <c r="AS12" s="4"/>
      <c r="AT12" s="4"/>
      <c r="AU12" s="4"/>
      <c r="AV12" s="4"/>
      <c r="AW12" s="4"/>
      <c r="AX12" s="4"/>
      <c r="AY12" s="4"/>
      <c r="AZ12" s="4"/>
      <c r="BA12" s="4"/>
      <c r="BB12" s="4"/>
      <c r="BC12" s="4"/>
      <c r="BD12" s="4"/>
      <c r="BE12" s="4"/>
      <c r="BF12" s="4"/>
      <c r="BG12" s="4"/>
      <c r="BH12" s="4"/>
      <c r="BI12" s="4"/>
      <c r="BJ12" s="4"/>
      <c r="BK12" s="4"/>
      <c r="BL12" s="4"/>
      <c r="BM12" s="4"/>
      <c r="BN12" s="4"/>
      <c r="BO12" s="4"/>
      <c r="BP12" s="4"/>
      <c r="BQ12" s="4"/>
      <c r="BR12" s="4"/>
      <c r="BS12" s="4"/>
      <c r="BT12" s="4"/>
      <c r="BU12" s="4"/>
      <c r="BV12" s="4"/>
      <c r="BW12" s="4"/>
      <c r="BX12" s="4"/>
      <c r="BY12" s="4"/>
      <c r="BZ12" s="4"/>
      <c r="CA12" s="4"/>
      <c r="CB12" s="4"/>
      <c r="CC12" s="4"/>
      <c r="CD12" s="4"/>
      <c r="CE12" s="4"/>
      <c r="CF12" s="4"/>
      <c r="CG12" s="4"/>
      <c r="CH12" s="4"/>
      <c r="CI12" s="4"/>
      <c r="CJ12" s="4"/>
      <c r="CK12" s="4"/>
      <c r="CL12" s="4"/>
      <c r="CM12" s="4"/>
      <c r="CN12" s="4"/>
      <c r="CO12" s="4"/>
      <c r="CP12" s="4"/>
      <c r="CQ12" s="4"/>
      <c r="CR12" s="4"/>
      <c r="CS12" s="4"/>
      <c r="CT12" s="4"/>
      <c r="CU12" s="4"/>
      <c r="CV12" s="4"/>
      <c r="CW12" s="4"/>
      <c r="CX12" s="4"/>
      <c r="CY12" s="4"/>
      <c r="CZ12" s="4"/>
      <c r="DA12" s="4"/>
      <c r="DB12" s="4"/>
      <c r="DC12" s="4"/>
      <c r="DD12" s="4"/>
      <c r="DE12" s="4"/>
      <c r="DF12" s="4"/>
      <c r="DG12" s="4"/>
      <c r="DH12" s="4"/>
      <c r="DI12" s="4"/>
      <c r="DJ12" s="4"/>
      <c r="DK12" s="4"/>
      <c r="DL12" s="4"/>
      <c r="DM12" s="4"/>
      <c r="DN12" s="4"/>
      <c r="DO12" s="4"/>
      <c r="DP12" s="4"/>
      <c r="DQ12" s="4"/>
      <c r="DR12" s="4"/>
      <c r="DS12" s="4"/>
      <c r="DT12" s="4"/>
      <c r="DU12" s="4"/>
      <c r="DV12" s="4"/>
      <c r="DW12" s="4"/>
      <c r="DX12" s="4"/>
      <c r="DY12" s="4"/>
      <c r="DZ12" s="4"/>
      <c r="EA12" s="4"/>
      <c r="EB12" s="4"/>
      <c r="EC12" s="4"/>
      <c r="ED12" s="4"/>
      <c r="EE12" s="4"/>
      <c r="EF12" s="4"/>
      <c r="EG12" s="4"/>
      <c r="EH12" s="4"/>
      <c r="EI12" s="4"/>
      <c r="EJ12" s="4"/>
      <c r="EK12" s="4"/>
      <c r="EL12" s="4"/>
      <c r="EM12" s="4"/>
      <c r="EN12" s="4"/>
      <c r="EO12" s="4"/>
      <c r="EP12" s="4"/>
      <c r="EQ12" s="4"/>
      <c r="ER12" s="4"/>
      <c r="ES12" s="4"/>
      <c r="ET12" s="4"/>
      <c r="EU12" s="4"/>
      <c r="EV12" s="4"/>
      <c r="EW12" s="4"/>
      <c r="EX12" s="4"/>
      <c r="EY12" s="4"/>
      <c r="EZ12" s="4"/>
      <c r="FA12" s="4"/>
      <c r="FB12" s="4"/>
      <c r="FC12" s="4"/>
      <c r="FD12" s="4"/>
      <c r="FE12" s="4"/>
      <c r="FF12" s="4"/>
      <c r="FG12" s="4"/>
      <c r="FH12" s="4"/>
      <c r="FI12" s="4"/>
      <c r="FJ12" s="4"/>
      <c r="FK12" s="4"/>
      <c r="FL12" s="4"/>
      <c r="FM12" s="4"/>
      <c r="FN12" s="4"/>
      <c r="FO12" s="4"/>
      <c r="FP12" s="4"/>
      <c r="FQ12" s="4"/>
      <c r="FR12" s="4"/>
      <c r="FS12" s="4"/>
      <c r="FT12" s="4"/>
      <c r="FU12" s="4"/>
      <c r="FV12" s="4"/>
      <c r="FW12" s="4"/>
      <c r="FX12" s="4"/>
      <c r="FY12" s="4"/>
      <c r="FZ12" s="4"/>
      <c r="GA12" s="4"/>
      <c r="GB12" s="4"/>
      <c r="GC12" s="4"/>
      <c r="GD12" s="4"/>
      <c r="GE12" s="4"/>
      <c r="GF12" s="4"/>
      <c r="GG12" s="4"/>
    </row>
    <row r="13" spans="1:189" outlineLevel="2">
      <c r="A13" s="110"/>
      <c r="B13" s="110"/>
      <c r="C13" s="110">
        <v>3</v>
      </c>
      <c r="D13" s="3" t="s">
        <v>987</v>
      </c>
      <c r="E13" s="175"/>
      <c r="F13" s="175"/>
      <c r="G13" s="175" t="s">
        <v>988</v>
      </c>
      <c r="H13" s="175"/>
      <c r="I13" s="175"/>
      <c r="J13" s="175"/>
      <c r="K13" s="175"/>
      <c r="L13" s="175"/>
      <c r="M13" s="176">
        <v>43432</v>
      </c>
      <c r="N13" s="176">
        <v>43432</v>
      </c>
      <c r="O13" s="175"/>
      <c r="P13" s="177">
        <v>1</v>
      </c>
      <c r="Q13" s="177">
        <v>0</v>
      </c>
      <c r="R13" s="178">
        <v>1</v>
      </c>
      <c r="S13" s="178">
        <v>0</v>
      </c>
      <c r="T13" s="176"/>
      <c r="U13" s="176"/>
      <c r="V13" s="179"/>
      <c r="W13" s="180">
        <v>0</v>
      </c>
      <c r="X13" s="181">
        <v>1</v>
      </c>
      <c r="Y13" s="175" t="s">
        <v>981</v>
      </c>
      <c r="Z13" s="182"/>
      <c r="AA13" s="94">
        <v>0</v>
      </c>
      <c r="AB13" s="183">
        <v>0</v>
      </c>
      <c r="AC13" s="116"/>
      <c r="AD13" s="4"/>
      <c r="AE13" s="4"/>
      <c r="AF13" s="4"/>
      <c r="AG13" s="4"/>
      <c r="AH13" s="4"/>
      <c r="AI13" s="4"/>
      <c r="AJ13" s="4"/>
      <c r="AK13" s="4" t="str">
        <f>"   " &amp; TEXT(AB13,"#0.00%") &amp; " " &amp; "월간보고2" &amp; "(김길동)" &amp; " " &amp; IF(M13="","",TEXT(M13,"M/D-")) &amp; IF(N13="","",TEXT(N13,"M/D")) &amp; " "</f>
        <v xml:space="preserve">   0.00% 월간보고2(김길동) 11/28-11/28 </v>
      </c>
      <c r="AL13" s="4"/>
      <c r="AM13" s="4"/>
      <c r="AN13" s="4"/>
      <c r="AO13" s="4"/>
      <c r="AP13" s="4"/>
      <c r="AQ13" s="4"/>
      <c r="AR13" s="4"/>
      <c r="AS13" s="4"/>
      <c r="AT13" s="4"/>
      <c r="AU13" s="4"/>
      <c r="AV13" s="4"/>
      <c r="AW13" s="4"/>
      <c r="AX13" s="4"/>
      <c r="AY13" s="4"/>
      <c r="AZ13" s="4"/>
      <c r="BA13" s="4"/>
      <c r="BB13" s="4"/>
      <c r="BC13" s="4"/>
      <c r="BD13" s="4"/>
      <c r="BE13" s="4"/>
      <c r="BF13" s="4"/>
      <c r="BG13" s="4"/>
      <c r="BH13" s="4"/>
      <c r="BI13" s="4"/>
      <c r="BJ13" s="4"/>
      <c r="BK13" s="4"/>
      <c r="BL13" s="4"/>
      <c r="BM13" s="4"/>
      <c r="BN13" s="4"/>
      <c r="BO13" s="4"/>
      <c r="BP13" s="4"/>
      <c r="BQ13" s="4"/>
      <c r="BR13" s="4"/>
      <c r="BS13" s="4"/>
      <c r="BT13" s="4"/>
      <c r="BU13" s="4"/>
      <c r="BV13" s="4"/>
      <c r="BW13" s="4"/>
      <c r="BX13" s="4"/>
      <c r="BY13" s="4"/>
      <c r="BZ13" s="4"/>
      <c r="CA13" s="4"/>
      <c r="CB13" s="4"/>
      <c r="CC13" s="4"/>
      <c r="CD13" s="4"/>
      <c r="CE13" s="4"/>
      <c r="CF13" s="4"/>
      <c r="CG13" s="4"/>
      <c r="CH13" s="4"/>
      <c r="CI13" s="4"/>
      <c r="CJ13" s="4"/>
      <c r="CK13" s="4"/>
      <c r="CL13" s="4"/>
      <c r="CM13" s="4"/>
      <c r="CN13" s="4"/>
      <c r="CO13" s="4"/>
      <c r="CP13" s="4"/>
      <c r="CQ13" s="4"/>
      <c r="CR13" s="4"/>
      <c r="CS13" s="4"/>
      <c r="CT13" s="4"/>
      <c r="CU13" s="4"/>
      <c r="CV13" s="4"/>
      <c r="CW13" s="4"/>
      <c r="CX13" s="4"/>
      <c r="CY13" s="4"/>
      <c r="CZ13" s="4"/>
      <c r="DA13" s="4"/>
      <c r="DB13" s="4"/>
      <c r="DC13" s="4"/>
      <c r="DD13" s="4"/>
      <c r="DE13" s="4"/>
      <c r="DF13" s="4"/>
      <c r="DG13" s="4"/>
      <c r="DH13" s="4"/>
      <c r="DI13" s="4"/>
      <c r="DJ13" s="4"/>
      <c r="DK13" s="4"/>
      <c r="DL13" s="4"/>
      <c r="DM13" s="4"/>
      <c r="DN13" s="4"/>
      <c r="DO13" s="4"/>
      <c r="DP13" s="4"/>
      <c r="DQ13" s="4"/>
      <c r="DR13" s="4"/>
      <c r="DS13" s="4"/>
      <c r="DT13" s="4"/>
      <c r="DU13" s="4"/>
      <c r="DV13" s="4"/>
      <c r="DW13" s="4"/>
      <c r="DX13" s="4"/>
      <c r="DY13" s="4"/>
      <c r="DZ13" s="4"/>
      <c r="EA13" s="4"/>
      <c r="EB13" s="4"/>
      <c r="EC13" s="4"/>
      <c r="ED13" s="4"/>
      <c r="EE13" s="4"/>
      <c r="EF13" s="4"/>
      <c r="EG13" s="4"/>
      <c r="EH13" s="4"/>
      <c r="EI13" s="4"/>
      <c r="EJ13" s="4"/>
      <c r="EK13" s="4"/>
      <c r="EL13" s="4"/>
      <c r="EM13" s="4"/>
      <c r="EN13" s="4"/>
      <c r="EO13" s="4"/>
      <c r="EP13" s="4"/>
      <c r="EQ13" s="4"/>
      <c r="ER13" s="4"/>
      <c r="ES13" s="4"/>
      <c r="ET13" s="4"/>
      <c r="EU13" s="4"/>
      <c r="EV13" s="4"/>
      <c r="EW13" s="4"/>
      <c r="EX13" s="4"/>
      <c r="EY13" s="4"/>
      <c r="EZ13" s="4"/>
      <c r="FA13" s="4"/>
      <c r="FB13" s="4"/>
      <c r="FC13" s="4"/>
      <c r="FD13" s="4"/>
      <c r="FE13" s="4"/>
      <c r="FF13" s="4"/>
      <c r="FG13" s="4"/>
      <c r="FH13" s="4"/>
      <c r="FI13" s="4"/>
      <c r="FJ13" s="4"/>
      <c r="FK13" s="4"/>
      <c r="FL13" s="4"/>
      <c r="FM13" s="4"/>
      <c r="FN13" s="4"/>
      <c r="FO13" s="4"/>
      <c r="FP13" s="4"/>
      <c r="FQ13" s="4"/>
      <c r="FR13" s="4"/>
      <c r="FS13" s="4"/>
      <c r="FT13" s="4"/>
      <c r="FU13" s="4"/>
      <c r="FV13" s="4"/>
      <c r="FW13" s="4"/>
      <c r="FX13" s="4"/>
      <c r="FY13" s="4"/>
      <c r="FZ13" s="4"/>
      <c r="GA13" s="4"/>
      <c r="GB13" s="4"/>
      <c r="GC13" s="4"/>
      <c r="GD13" s="4"/>
      <c r="GE13" s="4"/>
      <c r="GF13" s="4"/>
      <c r="GG13" s="4"/>
    </row>
    <row r="14" spans="1:189" outlineLevel="2">
      <c r="A14" s="110"/>
      <c r="B14" s="110"/>
      <c r="C14" s="110">
        <v>3</v>
      </c>
      <c r="D14" s="3" t="s">
        <v>989</v>
      </c>
      <c r="E14" s="175"/>
      <c r="F14" s="175"/>
      <c r="G14" s="175" t="s">
        <v>990</v>
      </c>
      <c r="H14" s="175"/>
      <c r="I14" s="175"/>
      <c r="J14" s="175"/>
      <c r="K14" s="175"/>
      <c r="L14" s="175"/>
      <c r="M14" s="176">
        <v>43468</v>
      </c>
      <c r="N14" s="176">
        <v>43493</v>
      </c>
      <c r="O14" s="175"/>
      <c r="P14" s="177">
        <v>18</v>
      </c>
      <c r="Q14" s="177">
        <v>0</v>
      </c>
      <c r="R14" s="178">
        <v>18</v>
      </c>
      <c r="S14" s="178">
        <v>0</v>
      </c>
      <c r="T14" s="176"/>
      <c r="U14" s="176"/>
      <c r="V14" s="179"/>
      <c r="W14" s="180">
        <v>0</v>
      </c>
      <c r="X14" s="181">
        <v>1</v>
      </c>
      <c r="Y14" s="175"/>
      <c r="Z14" s="182"/>
      <c r="AA14" s="94">
        <v>0</v>
      </c>
      <c r="AB14" s="183">
        <v>0</v>
      </c>
      <c r="AC14" s="116"/>
      <c r="AD14" s="4"/>
      <c r="AE14" s="4"/>
      <c r="AF14" s="4"/>
      <c r="AG14" s="4"/>
      <c r="AH14" s="4"/>
      <c r="AI14" s="4"/>
      <c r="AJ14" s="4"/>
      <c r="AK14" s="4"/>
      <c r="AL14" s="4"/>
      <c r="AM14" s="4"/>
      <c r="AN14" s="4"/>
      <c r="AO14" s="4"/>
      <c r="AP14" s="4" t="str">
        <f>"    " &amp; TEXT(AB14,"#0.00%") &amp; " "</f>
        <v xml:space="preserve">    0.00% </v>
      </c>
      <c r="AQ14" s="4"/>
      <c r="AR14" s="4"/>
      <c r="AS14" s="4"/>
      <c r="AT14" s="4" t="str">
        <f>"  " &amp; "월간보고3" &amp; " " &amp; IF(M14="","",TEXT(M14,"M/D-")) &amp; IF(N14="","",TEXT(N14,"M/D")) &amp; " "</f>
        <v xml:space="preserve">  월간보고3 1/3-1/28 </v>
      </c>
      <c r="AU14" s="4"/>
      <c r="AV14" s="4"/>
      <c r="AW14" s="4"/>
      <c r="AX14" s="4"/>
      <c r="AY14" s="4"/>
      <c r="AZ14" s="4"/>
      <c r="BA14" s="4"/>
      <c r="BB14" s="4"/>
      <c r="BC14" s="4"/>
      <c r="BD14" s="4"/>
      <c r="BE14" s="4"/>
      <c r="BF14" s="4"/>
      <c r="BG14" s="4"/>
      <c r="BH14" s="4"/>
      <c r="BI14" s="4"/>
      <c r="BJ14" s="4"/>
      <c r="BK14" s="4"/>
      <c r="BL14" s="4"/>
      <c r="BM14" s="4"/>
      <c r="BN14" s="4"/>
      <c r="BO14" s="4"/>
      <c r="BP14" s="4"/>
      <c r="BQ14" s="4"/>
      <c r="BR14" s="4"/>
      <c r="BS14" s="4"/>
      <c r="BT14" s="4"/>
      <c r="BU14" s="4"/>
      <c r="BV14" s="4"/>
      <c r="BW14" s="4"/>
      <c r="BX14" s="4"/>
      <c r="BY14" s="4"/>
      <c r="BZ14" s="4"/>
      <c r="CA14" s="4"/>
      <c r="CB14" s="4"/>
      <c r="CC14" s="4"/>
      <c r="CD14" s="4"/>
      <c r="CE14" s="4"/>
      <c r="CF14" s="4"/>
      <c r="CG14" s="4"/>
      <c r="CH14" s="4"/>
      <c r="CI14" s="4"/>
      <c r="CJ14" s="4"/>
      <c r="CK14" s="4"/>
      <c r="CL14" s="4"/>
      <c r="CM14" s="4"/>
      <c r="CN14" s="4"/>
      <c r="CO14" s="4"/>
      <c r="CP14" s="4"/>
      <c r="CQ14" s="4"/>
      <c r="CR14" s="4"/>
      <c r="CS14" s="4"/>
      <c r="CT14" s="4"/>
      <c r="CU14" s="4"/>
      <c r="CV14" s="4"/>
      <c r="CW14" s="4"/>
      <c r="CX14" s="4"/>
      <c r="CY14" s="4"/>
      <c r="CZ14" s="4"/>
      <c r="DA14" s="4"/>
      <c r="DB14" s="4"/>
      <c r="DC14" s="4"/>
      <c r="DD14" s="4"/>
      <c r="DE14" s="4"/>
      <c r="DF14" s="4"/>
      <c r="DG14" s="4"/>
      <c r="DH14" s="4"/>
      <c r="DI14" s="4"/>
      <c r="DJ14" s="4"/>
      <c r="DK14" s="4"/>
      <c r="DL14" s="4"/>
      <c r="DM14" s="4"/>
      <c r="DN14" s="4"/>
      <c r="DO14" s="4"/>
      <c r="DP14" s="4"/>
      <c r="DQ14" s="4"/>
      <c r="DR14" s="4"/>
      <c r="DS14" s="4"/>
      <c r="DT14" s="4"/>
      <c r="DU14" s="4"/>
      <c r="DV14" s="4"/>
      <c r="DW14" s="4"/>
      <c r="DX14" s="4"/>
      <c r="DY14" s="4"/>
      <c r="DZ14" s="4"/>
      <c r="EA14" s="4"/>
      <c r="EB14" s="4"/>
      <c r="EC14" s="4"/>
      <c r="ED14" s="4"/>
      <c r="EE14" s="4"/>
      <c r="EF14" s="4"/>
      <c r="EG14" s="4"/>
      <c r="EH14" s="4"/>
      <c r="EI14" s="4"/>
      <c r="EJ14" s="4"/>
      <c r="EK14" s="4"/>
      <c r="EL14" s="4"/>
      <c r="EM14" s="4"/>
      <c r="EN14" s="4"/>
      <c r="EO14" s="4"/>
      <c r="EP14" s="4"/>
      <c r="EQ14" s="4"/>
      <c r="ER14" s="4"/>
      <c r="ES14" s="4"/>
      <c r="ET14" s="4"/>
      <c r="EU14" s="4"/>
      <c r="EV14" s="4"/>
      <c r="EW14" s="4"/>
      <c r="EX14" s="4"/>
      <c r="EY14" s="4"/>
      <c r="EZ14" s="4"/>
      <c r="FA14" s="4"/>
      <c r="FB14" s="4"/>
      <c r="FC14" s="4"/>
      <c r="FD14" s="4"/>
      <c r="FE14" s="4"/>
      <c r="FF14" s="4"/>
      <c r="FG14" s="4"/>
      <c r="FH14" s="4"/>
      <c r="FI14" s="4"/>
      <c r="FJ14" s="4"/>
      <c r="FK14" s="4"/>
      <c r="FL14" s="4"/>
      <c r="FM14" s="4"/>
      <c r="FN14" s="4"/>
      <c r="FO14" s="4"/>
      <c r="FP14" s="4"/>
      <c r="FQ14" s="4"/>
      <c r="FR14" s="4"/>
      <c r="FS14" s="4"/>
      <c r="FT14" s="4"/>
      <c r="FU14" s="4"/>
      <c r="FV14" s="4"/>
      <c r="FW14" s="4"/>
      <c r="FX14" s="4"/>
      <c r="FY14" s="4"/>
      <c r="FZ14" s="4"/>
      <c r="GA14" s="4"/>
      <c r="GB14" s="4"/>
      <c r="GC14" s="4"/>
      <c r="GD14" s="4"/>
      <c r="GE14" s="4"/>
      <c r="GF14" s="4"/>
      <c r="GG14" s="4"/>
    </row>
    <row r="15" spans="1:189" outlineLevel="2">
      <c r="A15" s="110"/>
      <c r="B15" s="110"/>
      <c r="C15" s="110">
        <v>3</v>
      </c>
      <c r="D15" s="3" t="s">
        <v>992</v>
      </c>
      <c r="E15" s="175"/>
      <c r="F15" s="175"/>
      <c r="G15" s="175" t="s">
        <v>993</v>
      </c>
      <c r="H15" s="175"/>
      <c r="I15" s="175"/>
      <c r="J15" s="175"/>
      <c r="K15" s="175"/>
      <c r="L15" s="175"/>
      <c r="M15" s="176">
        <v>43397</v>
      </c>
      <c r="N15" s="176">
        <v>43397</v>
      </c>
      <c r="O15" s="175"/>
      <c r="P15" s="177">
        <v>1</v>
      </c>
      <c r="Q15" s="177">
        <v>0</v>
      </c>
      <c r="R15" s="178">
        <v>1</v>
      </c>
      <c r="S15" s="178">
        <v>0</v>
      </c>
      <c r="T15" s="176"/>
      <c r="U15" s="176"/>
      <c r="V15" s="179"/>
      <c r="W15" s="180">
        <v>0</v>
      </c>
      <c r="X15" s="181">
        <v>1</v>
      </c>
      <c r="Y15" s="175"/>
      <c r="Z15" s="182"/>
      <c r="AA15" s="94">
        <v>0</v>
      </c>
      <c r="AB15" s="183">
        <v>0</v>
      </c>
      <c r="AC15" s="116"/>
      <c r="AD15" s="4"/>
      <c r="AE15" s="4"/>
      <c r="AF15" s="4" t="str">
        <f>"   " &amp; TEXT(AB15,"#0.00%") &amp; " " &amp; "중간보고" &amp; " " &amp; IF(M15="","",TEXT(M15,"M/D-")) &amp; IF(N15="","",TEXT(N15,"M/D")) &amp; " "</f>
        <v xml:space="preserve">   0.00% 중간보고 10/24-10/24 </v>
      </c>
      <c r="AG15" s="4"/>
      <c r="AH15" s="4"/>
      <c r="AI15" s="4"/>
      <c r="AJ15" s="4"/>
      <c r="AK15" s="4"/>
      <c r="AL15" s="4"/>
      <c r="AM15" s="4"/>
      <c r="AN15" s="4"/>
      <c r="AO15" s="4"/>
      <c r="AP15" s="4"/>
      <c r="AQ15" s="4"/>
      <c r="AR15" s="4"/>
      <c r="AS15" s="4"/>
      <c r="AT15" s="4"/>
      <c r="AU15" s="4"/>
      <c r="AV15" s="4"/>
      <c r="AW15" s="4"/>
      <c r="AX15" s="4"/>
      <c r="AY15" s="4"/>
      <c r="AZ15" s="4"/>
      <c r="BA15" s="4"/>
      <c r="BB15" s="4"/>
      <c r="BC15" s="4"/>
      <c r="BD15" s="4"/>
      <c r="BE15" s="4"/>
      <c r="BF15" s="4"/>
      <c r="BG15" s="4"/>
      <c r="BH15" s="4"/>
      <c r="BI15" s="4"/>
      <c r="BJ15" s="4"/>
      <c r="BK15" s="4"/>
      <c r="BL15" s="4"/>
      <c r="BM15" s="4"/>
      <c r="BN15" s="4"/>
      <c r="BO15" s="4"/>
      <c r="BP15" s="4"/>
      <c r="BQ15" s="4"/>
      <c r="BR15" s="4"/>
      <c r="BS15" s="4"/>
      <c r="BT15" s="4"/>
      <c r="BU15" s="4"/>
      <c r="BV15" s="4"/>
      <c r="BW15" s="4"/>
      <c r="BX15" s="4"/>
      <c r="BY15" s="4"/>
      <c r="BZ15" s="4"/>
      <c r="CA15" s="4"/>
      <c r="CB15" s="4"/>
      <c r="CC15" s="4"/>
      <c r="CD15" s="4"/>
      <c r="CE15" s="4"/>
      <c r="CF15" s="4"/>
      <c r="CG15" s="4"/>
      <c r="CH15" s="4"/>
      <c r="CI15" s="4"/>
      <c r="CJ15" s="4"/>
      <c r="CK15" s="4"/>
      <c r="CL15" s="4"/>
      <c r="CM15" s="4"/>
      <c r="CN15" s="4"/>
      <c r="CO15" s="4"/>
      <c r="CP15" s="4"/>
      <c r="CQ15" s="4"/>
      <c r="CR15" s="4"/>
      <c r="CS15" s="4"/>
      <c r="CT15" s="4"/>
      <c r="CU15" s="4"/>
      <c r="CV15" s="4"/>
      <c r="CW15" s="4"/>
      <c r="CX15" s="4"/>
      <c r="CY15" s="4"/>
      <c r="CZ15" s="4"/>
      <c r="DA15" s="4"/>
      <c r="DB15" s="4"/>
      <c r="DC15" s="4"/>
      <c r="DD15" s="4"/>
      <c r="DE15" s="4"/>
      <c r="DF15" s="4"/>
      <c r="DG15" s="4"/>
      <c r="DH15" s="4"/>
      <c r="DI15" s="4"/>
      <c r="DJ15" s="4"/>
      <c r="DK15" s="4"/>
      <c r="DL15" s="4"/>
      <c r="DM15" s="4"/>
      <c r="DN15" s="4"/>
      <c r="DO15" s="4"/>
      <c r="DP15" s="4"/>
      <c r="DQ15" s="4"/>
      <c r="DR15" s="4"/>
      <c r="DS15" s="4"/>
      <c r="DT15" s="4"/>
      <c r="DU15" s="4"/>
      <c r="DV15" s="4"/>
      <c r="DW15" s="4"/>
      <c r="DX15" s="4"/>
      <c r="DY15" s="4"/>
      <c r="DZ15" s="4"/>
      <c r="EA15" s="4"/>
      <c r="EB15" s="4"/>
      <c r="EC15" s="4"/>
      <c r="ED15" s="4"/>
      <c r="EE15" s="4"/>
      <c r="EF15" s="4"/>
      <c r="EG15" s="4"/>
      <c r="EH15" s="4"/>
      <c r="EI15" s="4"/>
      <c r="EJ15" s="4"/>
      <c r="EK15" s="4"/>
      <c r="EL15" s="4"/>
      <c r="EM15" s="4"/>
      <c r="EN15" s="4"/>
      <c r="EO15" s="4"/>
      <c r="EP15" s="4"/>
      <c r="EQ15" s="4"/>
      <c r="ER15" s="4"/>
      <c r="ES15" s="4"/>
      <c r="ET15" s="4"/>
      <c r="EU15" s="4"/>
      <c r="EV15" s="4"/>
      <c r="EW15" s="4"/>
      <c r="EX15" s="4"/>
      <c r="EY15" s="4"/>
      <c r="EZ15" s="4"/>
      <c r="FA15" s="4"/>
      <c r="FB15" s="4"/>
      <c r="FC15" s="4"/>
      <c r="FD15" s="4"/>
      <c r="FE15" s="4"/>
      <c r="FF15" s="4"/>
      <c r="FG15" s="4"/>
      <c r="FH15" s="4"/>
      <c r="FI15" s="4"/>
      <c r="FJ15" s="4"/>
      <c r="FK15" s="4"/>
      <c r="FL15" s="4"/>
      <c r="FM15" s="4"/>
      <c r="FN15" s="4"/>
      <c r="FO15" s="4"/>
      <c r="FP15" s="4"/>
      <c r="FQ15" s="4"/>
      <c r="FR15" s="4"/>
      <c r="FS15" s="4"/>
      <c r="FT15" s="4"/>
      <c r="FU15" s="4"/>
      <c r="FV15" s="4"/>
      <c r="FW15" s="4"/>
      <c r="FX15" s="4"/>
      <c r="FY15" s="4"/>
      <c r="FZ15" s="4"/>
      <c r="GA15" s="4"/>
      <c r="GB15" s="4"/>
      <c r="GC15" s="4"/>
      <c r="GD15" s="4"/>
      <c r="GE15" s="4"/>
      <c r="GF15" s="4"/>
      <c r="GG15" s="4"/>
    </row>
    <row r="16" spans="1:189" outlineLevel="2">
      <c r="A16" s="110"/>
      <c r="B16" s="110"/>
      <c r="C16" s="110">
        <v>0</v>
      </c>
      <c r="D16" s="3"/>
      <c r="E16" s="175"/>
      <c r="F16" s="175"/>
      <c r="G16" s="175"/>
      <c r="H16" s="175"/>
      <c r="I16" s="175"/>
      <c r="J16" s="175"/>
      <c r="K16" s="175"/>
      <c r="L16" s="175"/>
      <c r="M16" s="176"/>
      <c r="N16" s="176"/>
      <c r="O16" s="175"/>
      <c r="P16" s="177"/>
      <c r="Q16" s="177"/>
      <c r="R16" s="178">
        <v>0</v>
      </c>
      <c r="S16" s="178">
        <v>0</v>
      </c>
      <c r="T16" s="176"/>
      <c r="U16" s="176"/>
      <c r="V16" s="179"/>
      <c r="W16" s="180">
        <v>0</v>
      </c>
      <c r="X16" s="181"/>
      <c r="Y16" s="175"/>
      <c r="Z16" s="182"/>
      <c r="AA16" s="94"/>
      <c r="AB16" s="183"/>
      <c r="AC16" s="116"/>
      <c r="AD16" s="4"/>
      <c r="AE16" s="4"/>
      <c r="AF16" s="4"/>
      <c r="AG16" s="4"/>
      <c r="AH16" s="4"/>
      <c r="AI16" s="4"/>
      <c r="AJ16" s="4"/>
      <c r="AK16" s="4"/>
      <c r="AL16" s="4"/>
      <c r="AM16" s="4"/>
      <c r="AN16" s="4"/>
      <c r="AO16" s="4"/>
      <c r="AP16" s="4"/>
      <c r="AQ16" s="4"/>
      <c r="AR16" s="4"/>
      <c r="AS16" s="4"/>
      <c r="AT16" s="4"/>
      <c r="AU16" s="4"/>
      <c r="AV16" s="4"/>
      <c r="AW16" s="4"/>
      <c r="AX16" s="4"/>
      <c r="AY16" s="4"/>
      <c r="AZ16" s="4"/>
      <c r="BA16" s="4"/>
      <c r="BB16" s="4"/>
      <c r="BC16" s="4"/>
      <c r="BD16" s="4"/>
      <c r="BE16" s="4"/>
      <c r="BF16" s="4"/>
      <c r="BG16" s="4"/>
      <c r="BH16" s="4"/>
      <c r="BI16" s="4"/>
      <c r="BJ16" s="4"/>
      <c r="BK16" s="4"/>
      <c r="BL16" s="4"/>
      <c r="BM16" s="4"/>
      <c r="BN16" s="4"/>
      <c r="BO16" s="4"/>
      <c r="BP16" s="4"/>
      <c r="BQ16" s="4"/>
      <c r="BR16" s="4"/>
      <c r="BS16" s="4"/>
      <c r="BT16" s="4"/>
      <c r="BU16" s="4"/>
      <c r="BV16" s="4"/>
      <c r="BW16" s="4"/>
      <c r="BX16" s="4"/>
      <c r="BY16" s="4"/>
      <c r="BZ16" s="4"/>
      <c r="CA16" s="4"/>
      <c r="CB16" s="4"/>
      <c r="CC16" s="4"/>
      <c r="CD16" s="4"/>
      <c r="CE16" s="4"/>
      <c r="CF16" s="4"/>
      <c r="CG16" s="4"/>
      <c r="CH16" s="4"/>
      <c r="CI16" s="4"/>
      <c r="CJ16" s="4"/>
      <c r="CK16" s="4"/>
      <c r="CL16" s="4"/>
      <c r="CM16" s="4"/>
      <c r="CN16" s="4"/>
      <c r="CO16" s="4"/>
      <c r="CP16" s="4"/>
      <c r="CQ16" s="4"/>
      <c r="CR16" s="4"/>
      <c r="CS16" s="4"/>
      <c r="CT16" s="4"/>
      <c r="CU16" s="4"/>
      <c r="CV16" s="4"/>
      <c r="CW16" s="4"/>
      <c r="CX16" s="4"/>
      <c r="CY16" s="4"/>
      <c r="CZ16" s="4"/>
      <c r="DA16" s="4"/>
      <c r="DB16" s="4"/>
      <c r="DC16" s="4"/>
      <c r="DD16" s="4"/>
      <c r="DE16" s="4"/>
      <c r="DF16" s="4"/>
      <c r="DG16" s="4"/>
      <c r="DH16" s="4"/>
      <c r="DI16" s="4"/>
      <c r="DJ16" s="4"/>
      <c r="DK16" s="4"/>
      <c r="DL16" s="4"/>
      <c r="DM16" s="4"/>
      <c r="DN16" s="4"/>
      <c r="DO16" s="4"/>
      <c r="DP16" s="4"/>
      <c r="DQ16" s="4"/>
      <c r="DR16" s="4"/>
      <c r="DS16" s="4"/>
      <c r="DT16" s="4"/>
      <c r="DU16" s="4"/>
      <c r="DV16" s="4"/>
      <c r="DW16" s="4"/>
      <c r="DX16" s="4"/>
      <c r="DY16" s="4"/>
      <c r="DZ16" s="4"/>
      <c r="EA16" s="4"/>
      <c r="EB16" s="4"/>
      <c r="EC16" s="4"/>
      <c r="ED16" s="4"/>
      <c r="EE16" s="4"/>
      <c r="EF16" s="4"/>
      <c r="EG16" s="4"/>
      <c r="EH16" s="4"/>
      <c r="EI16" s="4"/>
      <c r="EJ16" s="4"/>
      <c r="EK16" s="4"/>
      <c r="EL16" s="4"/>
      <c r="EM16" s="4"/>
      <c r="EN16" s="4"/>
      <c r="EO16" s="4"/>
      <c r="EP16" s="4"/>
      <c r="EQ16" s="4"/>
      <c r="ER16" s="4"/>
      <c r="ES16" s="4"/>
      <c r="ET16" s="4"/>
      <c r="EU16" s="4"/>
      <c r="EV16" s="4"/>
      <c r="EW16" s="4"/>
      <c r="EX16" s="4"/>
      <c r="EY16" s="4"/>
      <c r="EZ16" s="4"/>
      <c r="FA16" s="4"/>
      <c r="FB16" s="4"/>
      <c r="FC16" s="4"/>
      <c r="FD16" s="4"/>
      <c r="FE16" s="4"/>
      <c r="FF16" s="4"/>
      <c r="FG16" s="4"/>
      <c r="FH16" s="4"/>
      <c r="FI16" s="4"/>
      <c r="FJ16" s="4"/>
      <c r="FK16" s="4"/>
      <c r="FL16" s="4"/>
      <c r="FM16" s="4"/>
      <c r="FN16" s="4"/>
      <c r="FO16" s="4"/>
      <c r="FP16" s="4"/>
      <c r="FQ16" s="4"/>
      <c r="FR16" s="4"/>
      <c r="FS16" s="4"/>
      <c r="FT16" s="4"/>
      <c r="FU16" s="4"/>
      <c r="FV16" s="4"/>
      <c r="FW16" s="4"/>
      <c r="FX16" s="4"/>
      <c r="FY16" s="4"/>
      <c r="FZ16" s="4"/>
      <c r="GA16" s="4"/>
      <c r="GB16" s="4"/>
      <c r="GC16" s="4"/>
      <c r="GD16" s="4"/>
      <c r="GE16" s="4"/>
      <c r="GF16" s="4"/>
      <c r="GG16" s="4"/>
    </row>
    <row r="17" spans="1:189" outlineLevel="1">
      <c r="A17" s="110"/>
      <c r="B17" s="110" t="s">
        <v>1080</v>
      </c>
      <c r="C17" s="110">
        <v>2</v>
      </c>
      <c r="D17" s="3" t="s">
        <v>1091</v>
      </c>
      <c r="E17" s="175"/>
      <c r="F17" s="175" t="s">
        <v>1092</v>
      </c>
      <c r="G17" s="175"/>
      <c r="H17" s="175"/>
      <c r="I17" s="175"/>
      <c r="J17" s="175"/>
      <c r="K17" s="175"/>
      <c r="L17" s="175"/>
      <c r="M17" s="176">
        <v>43501</v>
      </c>
      <c r="N17" s="176">
        <v>43526</v>
      </c>
      <c r="O17" s="175"/>
      <c r="P17" s="177">
        <v>15</v>
      </c>
      <c r="Q17" s="177">
        <v>0</v>
      </c>
      <c r="R17" s="178">
        <v>16</v>
      </c>
      <c r="S17" s="178">
        <v>0</v>
      </c>
      <c r="T17" s="176"/>
      <c r="U17" s="176"/>
      <c r="V17" s="179">
        <v>0</v>
      </c>
      <c r="W17" s="180">
        <v>0</v>
      </c>
      <c r="X17" s="181"/>
      <c r="Y17" s="175"/>
      <c r="Z17" s="182"/>
      <c r="AA17" s="94">
        <v>0</v>
      </c>
      <c r="AB17" s="183">
        <v>0</v>
      </c>
      <c r="AC17" s="116"/>
      <c r="AD17" s="4"/>
      <c r="AE17" s="4"/>
      <c r="AF17" s="4"/>
      <c r="AG17" s="4"/>
      <c r="AH17" s="4"/>
      <c r="AI17" s="4"/>
      <c r="AJ17" s="4"/>
      <c r="AK17" s="4"/>
      <c r="AL17" s="4"/>
      <c r="AM17" s="4"/>
      <c r="AN17" s="4"/>
      <c r="AO17" s="4"/>
      <c r="AP17" s="4"/>
      <c r="AQ17" s="4"/>
      <c r="AR17" s="4"/>
      <c r="AS17" s="4"/>
      <c r="AT17" s="4"/>
      <c r="AU17" s="4" t="str">
        <f>"  " &amp; TEXT(AB17,"#0.00%") &amp; " "</f>
        <v xml:space="preserve">  0.00% </v>
      </c>
      <c r="AV17" s="4"/>
      <c r="AW17" s="4"/>
      <c r="AX17" s="4"/>
      <c r="AY17" s="4" t="str">
        <f>"" &amp; "프로젝트 종료" &amp; " " &amp; IF(M17="","",TEXT(M17,"M/D-")) &amp; IF(N17="","",TEXT(N17,"M/D")) &amp; " "</f>
        <v xml:space="preserve">프로젝트 종료 2/5-3/2 </v>
      </c>
      <c r="AZ17" s="4"/>
      <c r="BA17" s="4"/>
      <c r="BB17" s="4"/>
      <c r="BC17" s="4"/>
      <c r="BD17" s="4"/>
      <c r="BE17" s="4"/>
      <c r="BF17" s="4"/>
      <c r="BG17" s="4"/>
      <c r="BH17" s="4"/>
      <c r="BI17" s="4"/>
      <c r="BJ17" s="4"/>
      <c r="BK17" s="4"/>
      <c r="BL17" s="4"/>
      <c r="BM17" s="4"/>
      <c r="BN17" s="4"/>
      <c r="BO17" s="4"/>
      <c r="BP17" s="4"/>
      <c r="BQ17" s="4"/>
      <c r="BR17" s="4"/>
      <c r="BS17" s="4"/>
      <c r="BT17" s="4"/>
      <c r="BU17" s="4"/>
      <c r="BV17" s="4"/>
      <c r="BW17" s="4"/>
      <c r="BX17" s="4"/>
      <c r="BY17" s="4"/>
      <c r="BZ17" s="4"/>
      <c r="CA17" s="4"/>
      <c r="CB17" s="4"/>
      <c r="CC17" s="4"/>
      <c r="CD17" s="4"/>
      <c r="CE17" s="4"/>
      <c r="CF17" s="4"/>
      <c r="CG17" s="4"/>
      <c r="CH17" s="4"/>
      <c r="CI17" s="4"/>
      <c r="CJ17" s="4"/>
      <c r="CK17" s="4"/>
      <c r="CL17" s="4"/>
      <c r="CM17" s="4"/>
      <c r="CN17" s="4"/>
      <c r="CO17" s="4"/>
      <c r="CP17" s="4"/>
      <c r="CQ17" s="4"/>
      <c r="CR17" s="4"/>
      <c r="CS17" s="4"/>
      <c r="CT17" s="4"/>
      <c r="CU17" s="4"/>
      <c r="CV17" s="4"/>
      <c r="CW17" s="4"/>
      <c r="CX17" s="4"/>
      <c r="CY17" s="4"/>
      <c r="CZ17" s="4"/>
      <c r="DA17" s="4"/>
      <c r="DB17" s="4"/>
      <c r="DC17" s="4"/>
      <c r="DD17" s="4"/>
      <c r="DE17" s="4"/>
      <c r="DF17" s="4"/>
      <c r="DG17" s="4"/>
      <c r="DH17" s="4"/>
      <c r="DI17" s="4"/>
      <c r="DJ17" s="4"/>
      <c r="DK17" s="4"/>
      <c r="DL17" s="4"/>
      <c r="DM17" s="4"/>
      <c r="DN17" s="4"/>
      <c r="DO17" s="4"/>
      <c r="DP17" s="4"/>
      <c r="DQ17" s="4"/>
      <c r="DR17" s="4"/>
      <c r="DS17" s="4"/>
      <c r="DT17" s="4"/>
      <c r="DU17" s="4"/>
      <c r="DV17" s="4"/>
      <c r="DW17" s="4"/>
      <c r="DX17" s="4"/>
      <c r="DY17" s="4"/>
      <c r="DZ17" s="4"/>
      <c r="EA17" s="4"/>
      <c r="EB17" s="4"/>
      <c r="EC17" s="4"/>
      <c r="ED17" s="4"/>
      <c r="EE17" s="4"/>
      <c r="EF17" s="4"/>
      <c r="EG17" s="4"/>
      <c r="EH17" s="4"/>
      <c r="EI17" s="4"/>
      <c r="EJ17" s="4"/>
      <c r="EK17" s="4"/>
      <c r="EL17" s="4"/>
      <c r="EM17" s="4"/>
      <c r="EN17" s="4"/>
      <c r="EO17" s="4"/>
      <c r="EP17" s="4"/>
      <c r="EQ17" s="4"/>
      <c r="ER17" s="4"/>
      <c r="ES17" s="4"/>
      <c r="ET17" s="4"/>
      <c r="EU17" s="4"/>
      <c r="EV17" s="4"/>
      <c r="EW17" s="4"/>
      <c r="EX17" s="4"/>
      <c r="EY17" s="4"/>
      <c r="EZ17" s="4"/>
      <c r="FA17" s="4"/>
      <c r="FB17" s="4"/>
      <c r="FC17" s="4"/>
      <c r="FD17" s="4"/>
      <c r="FE17" s="4"/>
      <c r="FF17" s="4"/>
      <c r="FG17" s="4"/>
      <c r="FH17" s="4"/>
      <c r="FI17" s="4"/>
      <c r="FJ17" s="4"/>
      <c r="FK17" s="4"/>
      <c r="FL17" s="4"/>
      <c r="FM17" s="4"/>
      <c r="FN17" s="4"/>
      <c r="FO17" s="4"/>
      <c r="FP17" s="4"/>
      <c r="FQ17" s="4"/>
      <c r="FR17" s="4"/>
      <c r="FS17" s="4"/>
      <c r="FT17" s="4"/>
      <c r="FU17" s="4"/>
      <c r="FV17" s="4"/>
      <c r="FW17" s="4"/>
      <c r="FX17" s="4"/>
      <c r="FY17" s="4"/>
      <c r="FZ17" s="4"/>
      <c r="GA17" s="4"/>
      <c r="GB17" s="4"/>
      <c r="GC17" s="4"/>
      <c r="GD17" s="4"/>
      <c r="GE17" s="4"/>
      <c r="GF17" s="4"/>
      <c r="GG17" s="4"/>
    </row>
    <row r="18" spans="1:189" outlineLevel="2">
      <c r="A18" s="110"/>
      <c r="B18" s="110"/>
      <c r="C18" s="110">
        <v>3</v>
      </c>
      <c r="D18" s="3" t="s">
        <v>994</v>
      </c>
      <c r="E18" s="175"/>
      <c r="F18" s="175"/>
      <c r="G18" s="175" t="s">
        <v>995</v>
      </c>
      <c r="H18" s="175"/>
      <c r="I18" s="175"/>
      <c r="J18" s="175"/>
      <c r="K18" s="175"/>
      <c r="L18" s="175"/>
      <c r="M18" s="176">
        <v>43501</v>
      </c>
      <c r="N18" s="176">
        <v>43505</v>
      </c>
      <c r="O18" s="175"/>
      <c r="P18" s="177">
        <v>2</v>
      </c>
      <c r="Q18" s="177">
        <v>0</v>
      </c>
      <c r="R18" s="178">
        <v>2</v>
      </c>
      <c r="S18" s="178">
        <v>0</v>
      </c>
      <c r="T18" s="176"/>
      <c r="U18" s="176"/>
      <c r="V18" s="179"/>
      <c r="W18" s="180">
        <v>0</v>
      </c>
      <c r="X18" s="181">
        <v>1</v>
      </c>
      <c r="Y18" s="175" t="s">
        <v>978</v>
      </c>
      <c r="Z18" s="182"/>
      <c r="AA18" s="94">
        <v>0</v>
      </c>
      <c r="AB18" s="183">
        <v>0</v>
      </c>
      <c r="AC18" s="116"/>
      <c r="AD18" s="4"/>
      <c r="AE18" s="4"/>
      <c r="AF18" s="4"/>
      <c r="AG18" s="4"/>
      <c r="AH18" s="4"/>
      <c r="AI18" s="4"/>
      <c r="AJ18" s="4"/>
      <c r="AK18" s="4"/>
      <c r="AL18" s="4"/>
      <c r="AM18" s="4"/>
      <c r="AN18" s="4"/>
      <c r="AO18" s="4"/>
      <c r="AP18" s="4"/>
      <c r="AQ18" s="4"/>
      <c r="AR18" s="4"/>
      <c r="AS18" s="4"/>
      <c r="AT18" s="4"/>
      <c r="AU18" s="4" t="str">
        <f>"  " &amp; TEXT(AB18,"#0.00%") &amp; " " &amp; "종료계획수립" &amp; "(홍길동)" &amp; " " &amp; IF(M18="","",TEXT(M18,"M/D-")) &amp; IF(N18="","",TEXT(N18,"M/D")) &amp; " "</f>
        <v xml:space="preserve">  0.00% 종료계획수립(홍길동) 2/5-2/9 </v>
      </c>
      <c r="AV18" s="4"/>
      <c r="AW18" s="4"/>
      <c r="AX18" s="4"/>
      <c r="AY18" s="4"/>
      <c r="AZ18" s="4"/>
      <c r="BA18" s="4"/>
      <c r="BB18" s="4"/>
      <c r="BC18" s="4"/>
      <c r="BD18" s="4"/>
      <c r="BE18" s="4"/>
      <c r="BF18" s="4"/>
      <c r="BG18" s="4"/>
      <c r="BH18" s="4"/>
      <c r="BI18" s="4"/>
      <c r="BJ18" s="4"/>
      <c r="BK18" s="4"/>
      <c r="BL18" s="4"/>
      <c r="BM18" s="4"/>
      <c r="BN18" s="4"/>
      <c r="BO18" s="4"/>
      <c r="BP18" s="4"/>
      <c r="BQ18" s="4"/>
      <c r="BR18" s="4"/>
      <c r="BS18" s="4"/>
      <c r="BT18" s="4"/>
      <c r="BU18" s="4"/>
      <c r="BV18" s="4"/>
      <c r="BW18" s="4"/>
      <c r="BX18" s="4"/>
      <c r="BY18" s="4"/>
      <c r="BZ18" s="4"/>
      <c r="CA18" s="4"/>
      <c r="CB18" s="4"/>
      <c r="CC18" s="4"/>
      <c r="CD18" s="4"/>
      <c r="CE18" s="4"/>
      <c r="CF18" s="4"/>
      <c r="CG18" s="4"/>
      <c r="CH18" s="4"/>
      <c r="CI18" s="4"/>
      <c r="CJ18" s="4"/>
      <c r="CK18" s="4"/>
      <c r="CL18" s="4"/>
      <c r="CM18" s="4"/>
      <c r="CN18" s="4"/>
      <c r="CO18" s="4"/>
      <c r="CP18" s="4"/>
      <c r="CQ18" s="4"/>
      <c r="CR18" s="4"/>
      <c r="CS18" s="4"/>
      <c r="CT18" s="4"/>
      <c r="CU18" s="4"/>
      <c r="CV18" s="4"/>
      <c r="CW18" s="4"/>
      <c r="CX18" s="4"/>
      <c r="CY18" s="4"/>
      <c r="CZ18" s="4"/>
      <c r="DA18" s="4"/>
      <c r="DB18" s="4"/>
      <c r="DC18" s="4"/>
      <c r="DD18" s="4"/>
      <c r="DE18" s="4"/>
      <c r="DF18" s="4"/>
      <c r="DG18" s="4"/>
      <c r="DH18" s="4"/>
      <c r="DI18" s="4"/>
      <c r="DJ18" s="4"/>
      <c r="DK18" s="4"/>
      <c r="DL18" s="4"/>
      <c r="DM18" s="4"/>
      <c r="DN18" s="4"/>
      <c r="DO18" s="4"/>
      <c r="DP18" s="4"/>
      <c r="DQ18" s="4"/>
      <c r="DR18" s="4"/>
      <c r="DS18" s="4"/>
      <c r="DT18" s="4"/>
      <c r="DU18" s="4"/>
      <c r="DV18" s="4"/>
      <c r="DW18" s="4"/>
      <c r="DX18" s="4"/>
      <c r="DY18" s="4"/>
      <c r="DZ18" s="4"/>
      <c r="EA18" s="4"/>
      <c r="EB18" s="4"/>
      <c r="EC18" s="4"/>
      <c r="ED18" s="4"/>
      <c r="EE18" s="4"/>
      <c r="EF18" s="4"/>
      <c r="EG18" s="4"/>
      <c r="EH18" s="4"/>
      <c r="EI18" s="4"/>
      <c r="EJ18" s="4"/>
      <c r="EK18" s="4"/>
      <c r="EL18" s="4"/>
      <c r="EM18" s="4"/>
      <c r="EN18" s="4"/>
      <c r="EO18" s="4"/>
      <c r="EP18" s="4"/>
      <c r="EQ18" s="4"/>
      <c r="ER18" s="4"/>
      <c r="ES18" s="4"/>
      <c r="ET18" s="4"/>
      <c r="EU18" s="4"/>
      <c r="EV18" s="4"/>
      <c r="EW18" s="4"/>
      <c r="EX18" s="4"/>
      <c r="EY18" s="4"/>
      <c r="EZ18" s="4"/>
      <c r="FA18" s="4"/>
      <c r="FB18" s="4"/>
      <c r="FC18" s="4"/>
      <c r="FD18" s="4"/>
      <c r="FE18" s="4"/>
      <c r="FF18" s="4"/>
      <c r="FG18" s="4"/>
      <c r="FH18" s="4"/>
      <c r="FI18" s="4"/>
      <c r="FJ18" s="4"/>
      <c r="FK18" s="4"/>
      <c r="FL18" s="4"/>
      <c r="FM18" s="4"/>
      <c r="FN18" s="4"/>
      <c r="FO18" s="4"/>
      <c r="FP18" s="4"/>
      <c r="FQ18" s="4"/>
      <c r="FR18" s="4"/>
      <c r="FS18" s="4"/>
      <c r="FT18" s="4"/>
      <c r="FU18" s="4"/>
      <c r="FV18" s="4"/>
      <c r="FW18" s="4"/>
      <c r="FX18" s="4"/>
      <c r="FY18" s="4"/>
      <c r="FZ18" s="4"/>
      <c r="GA18" s="4"/>
      <c r="GB18" s="4"/>
      <c r="GC18" s="4"/>
      <c r="GD18" s="4"/>
      <c r="GE18" s="4"/>
      <c r="GF18" s="4"/>
      <c r="GG18" s="4"/>
    </row>
    <row r="19" spans="1:189" outlineLevel="2">
      <c r="A19" s="110"/>
      <c r="B19" s="110"/>
      <c r="C19" s="110">
        <v>3</v>
      </c>
      <c r="D19" s="3" t="s">
        <v>996</v>
      </c>
      <c r="E19" s="175"/>
      <c r="F19" s="175"/>
      <c r="G19" s="175" t="s">
        <v>997</v>
      </c>
      <c r="H19" s="175"/>
      <c r="I19" s="175"/>
      <c r="J19" s="175"/>
      <c r="K19" s="175"/>
      <c r="L19" s="175"/>
      <c r="M19" s="176">
        <v>43508</v>
      </c>
      <c r="N19" s="176">
        <v>43526</v>
      </c>
      <c r="O19" s="175"/>
      <c r="P19" s="177">
        <v>13</v>
      </c>
      <c r="Q19" s="177">
        <v>0</v>
      </c>
      <c r="R19" s="178">
        <v>13</v>
      </c>
      <c r="S19" s="178">
        <v>0</v>
      </c>
      <c r="T19" s="176"/>
      <c r="U19" s="176"/>
      <c r="V19" s="179"/>
      <c r="W19" s="180">
        <v>0</v>
      </c>
      <c r="X19" s="181">
        <v>1</v>
      </c>
      <c r="Y19" s="175" t="s">
        <v>978</v>
      </c>
      <c r="Z19" s="182"/>
      <c r="AA19" s="94">
        <v>0</v>
      </c>
      <c r="AB19" s="183">
        <v>0</v>
      </c>
      <c r="AC19" s="116"/>
      <c r="AD19" s="4"/>
      <c r="AE19" s="4"/>
      <c r="AF19" s="4"/>
      <c r="AG19" s="4"/>
      <c r="AH19" s="4"/>
      <c r="AI19" s="4"/>
      <c r="AJ19" s="4"/>
      <c r="AK19" s="4"/>
      <c r="AL19" s="4"/>
      <c r="AM19" s="4"/>
      <c r="AN19" s="4"/>
      <c r="AO19" s="4"/>
      <c r="AP19" s="4"/>
      <c r="AQ19" s="4"/>
      <c r="AR19" s="4"/>
      <c r="AS19" s="4"/>
      <c r="AT19" s="4"/>
      <c r="AU19" s="4"/>
      <c r="AV19" s="4" t="str">
        <f>"  " &amp; TEXT(AB19,"#0.00%") &amp; " "</f>
        <v xml:space="preserve">  0.00% </v>
      </c>
      <c r="AW19" s="4"/>
      <c r="AX19" s="4"/>
      <c r="AY19" s="4" t="str">
        <f>"" &amp; "시스템 인수인계" &amp; "(홍길동)" &amp; " " &amp; IF(M19="","",TEXT(M19,"M/D-")) &amp; IF(N19="","",TEXT(N19,"M/D")) &amp; " "</f>
        <v xml:space="preserve">시스템 인수인계(홍길동) 2/12-3/2 </v>
      </c>
      <c r="AZ19" s="4"/>
      <c r="BA19" s="4"/>
      <c r="BB19" s="4"/>
      <c r="BC19" s="4"/>
      <c r="BD19" s="4"/>
      <c r="BE19" s="4"/>
      <c r="BF19" s="4"/>
      <c r="BG19" s="4"/>
      <c r="BH19" s="4"/>
      <c r="BI19" s="4"/>
      <c r="BJ19" s="4"/>
      <c r="BK19" s="4"/>
      <c r="BL19" s="4"/>
      <c r="BM19" s="4"/>
      <c r="BN19" s="4"/>
      <c r="BO19" s="4"/>
      <c r="BP19" s="4"/>
      <c r="BQ19" s="4"/>
      <c r="BR19" s="4"/>
      <c r="BS19" s="4"/>
      <c r="BT19" s="4"/>
      <c r="BU19" s="4"/>
      <c r="BV19" s="4"/>
      <c r="BW19" s="4"/>
      <c r="BX19" s="4"/>
      <c r="BY19" s="4"/>
      <c r="BZ19" s="4"/>
      <c r="CA19" s="4"/>
      <c r="CB19" s="4"/>
      <c r="CC19" s="4"/>
      <c r="CD19" s="4"/>
      <c r="CE19" s="4"/>
      <c r="CF19" s="4"/>
      <c r="CG19" s="4"/>
      <c r="CH19" s="4"/>
      <c r="CI19" s="4"/>
      <c r="CJ19" s="4"/>
      <c r="CK19" s="4"/>
      <c r="CL19" s="4"/>
      <c r="CM19" s="4"/>
      <c r="CN19" s="4"/>
      <c r="CO19" s="4"/>
      <c r="CP19" s="4"/>
      <c r="CQ19" s="4"/>
      <c r="CR19" s="4"/>
      <c r="CS19" s="4"/>
      <c r="CT19" s="4"/>
      <c r="CU19" s="4"/>
      <c r="CV19" s="4"/>
      <c r="CW19" s="4"/>
      <c r="CX19" s="4"/>
      <c r="CY19" s="4"/>
      <c r="CZ19" s="4"/>
      <c r="DA19" s="4"/>
      <c r="DB19" s="4"/>
      <c r="DC19" s="4"/>
      <c r="DD19" s="4"/>
      <c r="DE19" s="4"/>
      <c r="DF19" s="4"/>
      <c r="DG19" s="4"/>
      <c r="DH19" s="4"/>
      <c r="DI19" s="4"/>
      <c r="DJ19" s="4"/>
      <c r="DK19" s="4"/>
      <c r="DL19" s="4"/>
      <c r="DM19" s="4"/>
      <c r="DN19" s="4"/>
      <c r="DO19" s="4"/>
      <c r="DP19" s="4"/>
      <c r="DQ19" s="4"/>
      <c r="DR19" s="4"/>
      <c r="DS19" s="4"/>
      <c r="DT19" s="4"/>
      <c r="DU19" s="4"/>
      <c r="DV19" s="4"/>
      <c r="DW19" s="4"/>
      <c r="DX19" s="4"/>
      <c r="DY19" s="4"/>
      <c r="DZ19" s="4"/>
      <c r="EA19" s="4"/>
      <c r="EB19" s="4"/>
      <c r="EC19" s="4"/>
      <c r="ED19" s="4"/>
      <c r="EE19" s="4"/>
      <c r="EF19" s="4"/>
      <c r="EG19" s="4"/>
      <c r="EH19" s="4"/>
      <c r="EI19" s="4"/>
      <c r="EJ19" s="4"/>
      <c r="EK19" s="4"/>
      <c r="EL19" s="4"/>
      <c r="EM19" s="4"/>
      <c r="EN19" s="4"/>
      <c r="EO19" s="4"/>
      <c r="EP19" s="4"/>
      <c r="EQ19" s="4"/>
      <c r="ER19" s="4"/>
      <c r="ES19" s="4"/>
      <c r="ET19" s="4"/>
      <c r="EU19" s="4"/>
      <c r="EV19" s="4"/>
      <c r="EW19" s="4"/>
      <c r="EX19" s="4"/>
      <c r="EY19" s="4"/>
      <c r="EZ19" s="4"/>
      <c r="FA19" s="4"/>
      <c r="FB19" s="4"/>
      <c r="FC19" s="4"/>
      <c r="FD19" s="4"/>
      <c r="FE19" s="4"/>
      <c r="FF19" s="4"/>
      <c r="FG19" s="4"/>
      <c r="FH19" s="4"/>
      <c r="FI19" s="4"/>
      <c r="FJ19" s="4"/>
      <c r="FK19" s="4"/>
      <c r="FL19" s="4"/>
      <c r="FM19" s="4"/>
      <c r="FN19" s="4"/>
      <c r="FO19" s="4"/>
      <c r="FP19" s="4"/>
      <c r="FQ19" s="4"/>
      <c r="FR19" s="4"/>
      <c r="FS19" s="4"/>
      <c r="FT19" s="4"/>
      <c r="FU19" s="4"/>
      <c r="FV19" s="4"/>
      <c r="FW19" s="4"/>
      <c r="FX19" s="4"/>
      <c r="FY19" s="4"/>
      <c r="FZ19" s="4"/>
      <c r="GA19" s="4"/>
      <c r="GB19" s="4"/>
      <c r="GC19" s="4"/>
      <c r="GD19" s="4"/>
      <c r="GE19" s="4"/>
      <c r="GF19" s="4"/>
      <c r="GG19" s="4"/>
    </row>
    <row r="20" spans="1:189" outlineLevel="2">
      <c r="A20" s="110"/>
      <c r="B20" s="110"/>
      <c r="C20" s="110">
        <v>3</v>
      </c>
      <c r="D20" s="3" t="s">
        <v>998</v>
      </c>
      <c r="E20" s="175"/>
      <c r="F20" s="175"/>
      <c r="G20" s="175" t="s">
        <v>999</v>
      </c>
      <c r="H20" s="175"/>
      <c r="I20" s="175"/>
      <c r="J20" s="175"/>
      <c r="K20" s="175"/>
      <c r="L20" s="175"/>
      <c r="M20" s="176">
        <v>43526</v>
      </c>
      <c r="N20" s="176">
        <v>43526</v>
      </c>
      <c r="O20" s="175"/>
      <c r="P20" s="177">
        <v>0</v>
      </c>
      <c r="Q20" s="177">
        <v>0</v>
      </c>
      <c r="R20" s="178">
        <v>0</v>
      </c>
      <c r="S20" s="178">
        <v>0</v>
      </c>
      <c r="T20" s="176"/>
      <c r="U20" s="176"/>
      <c r="V20" s="179"/>
      <c r="W20" s="180">
        <v>0</v>
      </c>
      <c r="X20" s="181">
        <v>1</v>
      </c>
      <c r="Y20" s="175" t="s">
        <v>978</v>
      </c>
      <c r="Z20" s="182"/>
      <c r="AA20" s="94">
        <v>0</v>
      </c>
      <c r="AB20" s="183">
        <v>0</v>
      </c>
      <c r="AC20" s="116"/>
      <c r="AD20" s="4"/>
      <c r="AE20" s="4"/>
      <c r="AF20" s="4"/>
      <c r="AG20" s="4"/>
      <c r="AH20" s="4"/>
      <c r="AI20" s="4"/>
      <c r="AJ20" s="4"/>
      <c r="AK20" s="4"/>
      <c r="AL20" s="4"/>
      <c r="AM20" s="4"/>
      <c r="AN20" s="4"/>
      <c r="AO20" s="4"/>
      <c r="AP20" s="4"/>
      <c r="AQ20" s="4"/>
      <c r="AR20" s="4"/>
      <c r="AS20" s="4"/>
      <c r="AT20" s="4"/>
      <c r="AU20" s="4"/>
      <c r="AV20" s="4"/>
      <c r="AW20" s="4"/>
      <c r="AX20" s="4" t="str">
        <f>"      " &amp; TEXT(AB20,"#0.00%") &amp; " " &amp; "종료보고" &amp; "(홍길동)" &amp; " " &amp; IF(M20="","",TEXT(M20,"M/D-")) &amp; IF(N20="","",TEXT(N20,"M/D")) &amp; " "</f>
        <v xml:space="preserve">      0.00% 종료보고(홍길동) 3/2-3/2 </v>
      </c>
      <c r="AY20" s="4"/>
      <c r="AZ20" s="4"/>
      <c r="BA20" s="4"/>
      <c r="BB20" s="4"/>
      <c r="BC20" s="4"/>
      <c r="BD20" s="4"/>
      <c r="BE20" s="4"/>
      <c r="BF20" s="4"/>
      <c r="BG20" s="4"/>
      <c r="BH20" s="4"/>
      <c r="BI20" s="4"/>
      <c r="BJ20" s="4"/>
      <c r="BK20" s="4"/>
      <c r="BL20" s="4"/>
      <c r="BM20" s="4"/>
      <c r="BN20" s="4"/>
      <c r="BO20" s="4"/>
      <c r="BP20" s="4"/>
      <c r="BQ20" s="4"/>
      <c r="BR20" s="4"/>
      <c r="BS20" s="4"/>
      <c r="BT20" s="4"/>
      <c r="BU20" s="4"/>
      <c r="BV20" s="4"/>
      <c r="BW20" s="4"/>
      <c r="BX20" s="4"/>
      <c r="BY20" s="4"/>
      <c r="BZ20" s="4"/>
      <c r="CA20" s="4"/>
      <c r="CB20" s="4"/>
      <c r="CC20" s="4"/>
      <c r="CD20" s="4"/>
      <c r="CE20" s="4"/>
      <c r="CF20" s="4"/>
      <c r="CG20" s="4"/>
      <c r="CH20" s="4"/>
      <c r="CI20" s="4"/>
      <c r="CJ20" s="4"/>
      <c r="CK20" s="4"/>
      <c r="CL20" s="4"/>
      <c r="CM20" s="4"/>
      <c r="CN20" s="4"/>
      <c r="CO20" s="4"/>
      <c r="CP20" s="4"/>
      <c r="CQ20" s="4"/>
      <c r="CR20" s="4"/>
      <c r="CS20" s="4"/>
      <c r="CT20" s="4"/>
      <c r="CU20" s="4"/>
      <c r="CV20" s="4"/>
      <c r="CW20" s="4"/>
      <c r="CX20" s="4"/>
      <c r="CY20" s="4"/>
      <c r="CZ20" s="4"/>
      <c r="DA20" s="4"/>
      <c r="DB20" s="4"/>
      <c r="DC20" s="4"/>
      <c r="DD20" s="4"/>
      <c r="DE20" s="4"/>
      <c r="DF20" s="4"/>
      <c r="DG20" s="4"/>
      <c r="DH20" s="4"/>
      <c r="DI20" s="4"/>
      <c r="DJ20" s="4"/>
      <c r="DK20" s="4"/>
      <c r="DL20" s="4"/>
      <c r="DM20" s="4"/>
      <c r="DN20" s="4"/>
      <c r="DO20" s="4"/>
      <c r="DP20" s="4"/>
      <c r="DQ20" s="4"/>
      <c r="DR20" s="4"/>
      <c r="DS20" s="4"/>
      <c r="DT20" s="4"/>
      <c r="DU20" s="4"/>
      <c r="DV20" s="4"/>
      <c r="DW20" s="4"/>
      <c r="DX20" s="4"/>
      <c r="DY20" s="4"/>
      <c r="DZ20" s="4"/>
      <c r="EA20" s="4"/>
      <c r="EB20" s="4"/>
      <c r="EC20" s="4"/>
      <c r="ED20" s="4"/>
      <c r="EE20" s="4"/>
      <c r="EF20" s="4"/>
      <c r="EG20" s="4"/>
      <c r="EH20" s="4"/>
      <c r="EI20" s="4"/>
      <c r="EJ20" s="4"/>
      <c r="EK20" s="4"/>
      <c r="EL20" s="4"/>
      <c r="EM20" s="4"/>
      <c r="EN20" s="4"/>
      <c r="EO20" s="4"/>
      <c r="EP20" s="4"/>
      <c r="EQ20" s="4"/>
      <c r="ER20" s="4"/>
      <c r="ES20" s="4"/>
      <c r="ET20" s="4"/>
      <c r="EU20" s="4"/>
      <c r="EV20" s="4"/>
      <c r="EW20" s="4"/>
      <c r="EX20" s="4"/>
      <c r="EY20" s="4"/>
      <c r="EZ20" s="4"/>
      <c r="FA20" s="4"/>
      <c r="FB20" s="4"/>
      <c r="FC20" s="4"/>
      <c r="FD20" s="4"/>
      <c r="FE20" s="4"/>
      <c r="FF20" s="4"/>
      <c r="FG20" s="4"/>
      <c r="FH20" s="4"/>
      <c r="FI20" s="4"/>
      <c r="FJ20" s="4"/>
      <c r="FK20" s="4"/>
      <c r="FL20" s="4"/>
      <c r="FM20" s="4"/>
      <c r="FN20" s="4"/>
      <c r="FO20" s="4"/>
      <c r="FP20" s="4"/>
      <c r="FQ20" s="4"/>
      <c r="FR20" s="4"/>
      <c r="FS20" s="4"/>
      <c r="FT20" s="4"/>
      <c r="FU20" s="4"/>
      <c r="FV20" s="4"/>
      <c r="FW20" s="4"/>
      <c r="FX20" s="4"/>
      <c r="FY20" s="4"/>
      <c r="FZ20" s="4"/>
      <c r="GA20" s="4"/>
      <c r="GB20" s="4"/>
      <c r="GC20" s="4"/>
      <c r="GD20" s="4"/>
      <c r="GE20" s="4"/>
      <c r="GF20" s="4"/>
      <c r="GG20" s="4"/>
    </row>
    <row r="21" spans="1:189" outlineLevel="2">
      <c r="A21" s="110"/>
      <c r="B21" s="110"/>
      <c r="C21" s="110">
        <v>3</v>
      </c>
      <c r="D21" s="3" t="s">
        <v>1000</v>
      </c>
      <c r="E21" s="175"/>
      <c r="F21" s="175"/>
      <c r="G21" s="175" t="s">
        <v>1001</v>
      </c>
      <c r="H21" s="175"/>
      <c r="I21" s="175"/>
      <c r="J21" s="175"/>
      <c r="K21" s="175"/>
      <c r="L21" s="175"/>
      <c r="M21" s="176">
        <v>43526</v>
      </c>
      <c r="N21" s="176">
        <v>43526</v>
      </c>
      <c r="O21" s="175"/>
      <c r="P21" s="177">
        <v>0</v>
      </c>
      <c r="Q21" s="177">
        <v>0</v>
      </c>
      <c r="R21" s="178">
        <v>0</v>
      </c>
      <c r="S21" s="178">
        <v>0</v>
      </c>
      <c r="T21" s="176"/>
      <c r="U21" s="176"/>
      <c r="V21" s="179"/>
      <c r="W21" s="180">
        <v>0</v>
      </c>
      <c r="X21" s="181">
        <v>1</v>
      </c>
      <c r="Y21" s="175" t="s">
        <v>978</v>
      </c>
      <c r="Z21" s="182"/>
      <c r="AA21" s="94">
        <v>0</v>
      </c>
      <c r="AB21" s="183">
        <v>0</v>
      </c>
      <c r="AC21" s="116"/>
      <c r="AD21" s="4"/>
      <c r="AE21" s="4"/>
      <c r="AF21" s="4"/>
      <c r="AG21" s="4"/>
      <c r="AH21" s="4"/>
      <c r="AI21" s="4"/>
      <c r="AJ21" s="4"/>
      <c r="AK21" s="4"/>
      <c r="AL21" s="4"/>
      <c r="AM21" s="4"/>
      <c r="AN21" s="4"/>
      <c r="AO21" s="4"/>
      <c r="AP21" s="4"/>
      <c r="AQ21" s="4"/>
      <c r="AR21" s="4"/>
      <c r="AS21" s="4"/>
      <c r="AT21" s="4"/>
      <c r="AU21" s="4"/>
      <c r="AV21" s="4"/>
      <c r="AW21" s="4"/>
      <c r="AX21" s="4" t="str">
        <f>"      " &amp; TEXT(AB21,"#0.00%") &amp; " " &amp; "검수 및 종료" &amp; "(홍길동)" &amp; " " &amp; IF(M21="","",TEXT(M21,"M/D-")) &amp; IF(N21="","",TEXT(N21,"M/D")) &amp; " "</f>
        <v xml:space="preserve">      0.00% 검수 및 종료(홍길동) 3/2-3/2 </v>
      </c>
      <c r="AY21" s="4"/>
      <c r="AZ21" s="4"/>
      <c r="BA21" s="4"/>
      <c r="BB21" s="4"/>
      <c r="BC21" s="4"/>
      <c r="BD21" s="4"/>
      <c r="BE21" s="4"/>
      <c r="BF21" s="4"/>
      <c r="BG21" s="4"/>
      <c r="BH21" s="4"/>
      <c r="BI21" s="4"/>
      <c r="BJ21" s="4"/>
      <c r="BK21" s="4"/>
      <c r="BL21" s="4"/>
      <c r="BM21" s="4"/>
      <c r="BN21" s="4"/>
      <c r="BO21" s="4"/>
      <c r="BP21" s="4"/>
      <c r="BQ21" s="4"/>
      <c r="BR21" s="4"/>
      <c r="BS21" s="4"/>
      <c r="BT21" s="4"/>
      <c r="BU21" s="4"/>
      <c r="BV21" s="4"/>
      <c r="BW21" s="4"/>
      <c r="BX21" s="4"/>
      <c r="BY21" s="4"/>
      <c r="BZ21" s="4"/>
      <c r="CA21" s="4"/>
      <c r="CB21" s="4"/>
      <c r="CC21" s="4"/>
      <c r="CD21" s="4"/>
      <c r="CE21" s="4"/>
      <c r="CF21" s="4"/>
      <c r="CG21" s="4"/>
      <c r="CH21" s="4"/>
      <c r="CI21" s="4"/>
      <c r="CJ21" s="4"/>
      <c r="CK21" s="4"/>
      <c r="CL21" s="4"/>
      <c r="CM21" s="4"/>
      <c r="CN21" s="4"/>
      <c r="CO21" s="4"/>
      <c r="CP21" s="4"/>
      <c r="CQ21" s="4"/>
      <c r="CR21" s="4"/>
      <c r="CS21" s="4"/>
      <c r="CT21" s="4"/>
      <c r="CU21" s="4"/>
      <c r="CV21" s="4"/>
      <c r="CW21" s="4"/>
      <c r="CX21" s="4"/>
      <c r="CY21" s="4"/>
      <c r="CZ21" s="4"/>
      <c r="DA21" s="4"/>
      <c r="DB21" s="4"/>
      <c r="DC21" s="4"/>
      <c r="DD21" s="4"/>
      <c r="DE21" s="4"/>
      <c r="DF21" s="4"/>
      <c r="DG21" s="4"/>
      <c r="DH21" s="4"/>
      <c r="DI21" s="4"/>
      <c r="DJ21" s="4"/>
      <c r="DK21" s="4"/>
      <c r="DL21" s="4"/>
      <c r="DM21" s="4"/>
      <c r="DN21" s="4"/>
      <c r="DO21" s="4"/>
      <c r="DP21" s="4"/>
      <c r="DQ21" s="4"/>
      <c r="DR21" s="4"/>
      <c r="DS21" s="4"/>
      <c r="DT21" s="4"/>
      <c r="DU21" s="4"/>
      <c r="DV21" s="4"/>
      <c r="DW21" s="4"/>
      <c r="DX21" s="4"/>
      <c r="DY21" s="4"/>
      <c r="DZ21" s="4"/>
      <c r="EA21" s="4"/>
      <c r="EB21" s="4"/>
      <c r="EC21" s="4"/>
      <c r="ED21" s="4"/>
      <c r="EE21" s="4"/>
      <c r="EF21" s="4"/>
      <c r="EG21" s="4"/>
      <c r="EH21" s="4"/>
      <c r="EI21" s="4"/>
      <c r="EJ21" s="4"/>
      <c r="EK21" s="4"/>
      <c r="EL21" s="4"/>
      <c r="EM21" s="4"/>
      <c r="EN21" s="4"/>
      <c r="EO21" s="4"/>
      <c r="EP21" s="4"/>
      <c r="EQ21" s="4"/>
      <c r="ER21" s="4"/>
      <c r="ES21" s="4"/>
      <c r="ET21" s="4"/>
      <c r="EU21" s="4"/>
      <c r="EV21" s="4"/>
      <c r="EW21" s="4"/>
      <c r="EX21" s="4"/>
      <c r="EY21" s="4"/>
      <c r="EZ21" s="4"/>
      <c r="FA21" s="4"/>
      <c r="FB21" s="4"/>
      <c r="FC21" s="4"/>
      <c r="FD21" s="4"/>
      <c r="FE21" s="4"/>
      <c r="FF21" s="4"/>
      <c r="FG21" s="4"/>
      <c r="FH21" s="4"/>
      <c r="FI21" s="4"/>
      <c r="FJ21" s="4"/>
      <c r="FK21" s="4"/>
      <c r="FL21" s="4"/>
      <c r="FM21" s="4"/>
      <c r="FN21" s="4"/>
      <c r="FO21" s="4"/>
      <c r="FP21" s="4"/>
      <c r="FQ21" s="4"/>
      <c r="FR21" s="4"/>
      <c r="FS21" s="4"/>
      <c r="FT21" s="4"/>
      <c r="FU21" s="4"/>
      <c r="FV21" s="4"/>
      <c r="FW21" s="4"/>
      <c r="FX21" s="4"/>
      <c r="FY21" s="4"/>
      <c r="FZ21" s="4"/>
      <c r="GA21" s="4"/>
      <c r="GB21" s="4"/>
      <c r="GC21" s="4"/>
      <c r="GD21" s="4"/>
      <c r="GE21" s="4"/>
      <c r="GF21" s="4"/>
      <c r="GG21" s="4"/>
    </row>
    <row r="22" spans="1:189">
      <c r="A22" s="110"/>
      <c r="B22" s="110" t="s">
        <v>1080</v>
      </c>
      <c r="C22" s="110">
        <v>1</v>
      </c>
      <c r="D22" s="3" t="s">
        <v>1093</v>
      </c>
      <c r="E22" s="175" t="s">
        <v>1094</v>
      </c>
      <c r="F22" s="175"/>
      <c r="G22" s="175"/>
      <c r="H22" s="175"/>
      <c r="I22" s="175"/>
      <c r="J22" s="175"/>
      <c r="K22" s="175"/>
      <c r="L22" s="175"/>
      <c r="M22" s="176">
        <v>43379</v>
      </c>
      <c r="N22" s="176">
        <v>43504</v>
      </c>
      <c r="O22" s="175"/>
      <c r="P22" s="177">
        <v>219</v>
      </c>
      <c r="Q22" s="177">
        <v>6</v>
      </c>
      <c r="R22" s="178">
        <v>84</v>
      </c>
      <c r="S22" s="178">
        <v>4</v>
      </c>
      <c r="T22" s="176"/>
      <c r="U22" s="176"/>
      <c r="V22" s="179">
        <v>0</v>
      </c>
      <c r="W22" s="180">
        <v>0</v>
      </c>
      <c r="X22" s="181"/>
      <c r="Y22" s="175"/>
      <c r="Z22" s="182"/>
      <c r="AA22" s="94">
        <v>2.7397260273972601E-2</v>
      </c>
      <c r="AB22" s="183">
        <v>7.7123287671232874E-2</v>
      </c>
      <c r="AC22" s="116"/>
      <c r="AD22" s="4"/>
      <c r="AE22" s="4" t="str">
        <f>"  " &amp; TEXT(AB22,"#0.00%") &amp; " "</f>
        <v xml:space="preserve">  7.71% </v>
      </c>
      <c r="AF22" s="4"/>
      <c r="AG22" s="4"/>
      <c r="AH22" s="4"/>
      <c r="AI22" s="4"/>
      <c r="AJ22" s="4"/>
      <c r="AK22" s="4"/>
      <c r="AL22" s="4"/>
      <c r="AM22" s="4"/>
      <c r="AN22" s="4"/>
      <c r="AO22" s="4"/>
      <c r="AP22" s="4"/>
      <c r="AQ22" s="4"/>
      <c r="AR22" s="4"/>
      <c r="AS22" s="4"/>
      <c r="AT22" s="4"/>
      <c r="AU22" s="4" t="str">
        <f>"      " &amp; "시스템 개발" &amp; " " &amp; IF(M22="","",TEXT(M22,"M/D-")) &amp; IF(N22="","",TEXT(N22,"M/D")) &amp; " "</f>
        <v xml:space="preserve">      시스템 개발 10/6-2/8 </v>
      </c>
      <c r="AV22" s="4"/>
      <c r="AW22" s="4"/>
      <c r="AX22" s="4"/>
      <c r="AY22" s="4"/>
      <c r="AZ22" s="4"/>
      <c r="BA22" s="4"/>
      <c r="BB22" s="4"/>
      <c r="BC22" s="4"/>
      <c r="BD22" s="4"/>
      <c r="BE22" s="4"/>
      <c r="BF22" s="4"/>
      <c r="BG22" s="4"/>
      <c r="BH22" s="4"/>
      <c r="BI22" s="4"/>
      <c r="BJ22" s="4"/>
      <c r="BK22" s="4"/>
      <c r="BL22" s="4"/>
      <c r="BM22" s="4"/>
      <c r="BN22" s="4"/>
      <c r="BO22" s="4"/>
      <c r="BP22" s="4"/>
      <c r="BQ22" s="4"/>
      <c r="BR22" s="4"/>
      <c r="BS22" s="4"/>
      <c r="BT22" s="4"/>
      <c r="BU22" s="4"/>
      <c r="BV22" s="4"/>
      <c r="BW22" s="4"/>
      <c r="BX22" s="4"/>
      <c r="BY22" s="4"/>
      <c r="BZ22" s="4"/>
      <c r="CA22" s="4"/>
      <c r="CB22" s="4"/>
      <c r="CC22" s="4"/>
      <c r="CD22" s="4"/>
      <c r="CE22" s="4"/>
      <c r="CF22" s="4"/>
      <c r="CG22" s="4"/>
      <c r="CH22" s="4"/>
      <c r="CI22" s="4"/>
      <c r="CJ22" s="4"/>
      <c r="CK22" s="4"/>
      <c r="CL22" s="4"/>
      <c r="CM22" s="4"/>
      <c r="CN22" s="4"/>
      <c r="CO22" s="4"/>
      <c r="CP22" s="4"/>
      <c r="CQ22" s="4"/>
      <c r="CR22" s="4"/>
      <c r="CS22" s="4"/>
      <c r="CT22" s="4"/>
      <c r="CU22" s="4"/>
      <c r="CV22" s="4"/>
      <c r="CW22" s="4"/>
      <c r="CX22" s="4"/>
      <c r="CY22" s="4"/>
      <c r="CZ22" s="4"/>
      <c r="DA22" s="4"/>
      <c r="DB22" s="4"/>
      <c r="DC22" s="4"/>
      <c r="DD22" s="4"/>
      <c r="DE22" s="4"/>
      <c r="DF22" s="4"/>
      <c r="DG22" s="4"/>
      <c r="DH22" s="4"/>
      <c r="DI22" s="4"/>
      <c r="DJ22" s="4"/>
      <c r="DK22" s="4"/>
      <c r="DL22" s="4"/>
      <c r="DM22" s="4"/>
      <c r="DN22" s="4"/>
      <c r="DO22" s="4"/>
      <c r="DP22" s="4"/>
      <c r="DQ22" s="4"/>
      <c r="DR22" s="4"/>
      <c r="DS22" s="4"/>
      <c r="DT22" s="4"/>
      <c r="DU22" s="4"/>
      <c r="DV22" s="4"/>
      <c r="DW22" s="4"/>
      <c r="DX22" s="4"/>
      <c r="DY22" s="4"/>
      <c r="DZ22" s="4"/>
      <c r="EA22" s="4"/>
      <c r="EB22" s="4"/>
      <c r="EC22" s="4"/>
      <c r="ED22" s="4"/>
      <c r="EE22" s="4"/>
      <c r="EF22" s="4"/>
      <c r="EG22" s="4"/>
      <c r="EH22" s="4"/>
      <c r="EI22" s="4"/>
      <c r="EJ22" s="4"/>
      <c r="EK22" s="4"/>
      <c r="EL22" s="4"/>
      <c r="EM22" s="4"/>
      <c r="EN22" s="4"/>
      <c r="EO22" s="4"/>
      <c r="EP22" s="4"/>
      <c r="EQ22" s="4"/>
      <c r="ER22" s="4"/>
      <c r="ES22" s="4"/>
      <c r="ET22" s="4"/>
      <c r="EU22" s="4"/>
      <c r="EV22" s="4"/>
      <c r="EW22" s="4"/>
      <c r="EX22" s="4"/>
      <c r="EY22" s="4"/>
      <c r="EZ22" s="4"/>
      <c r="FA22" s="4"/>
      <c r="FB22" s="4"/>
      <c r="FC22" s="4"/>
      <c r="FD22" s="4"/>
      <c r="FE22" s="4"/>
      <c r="FF22" s="4"/>
      <c r="FG22" s="4"/>
      <c r="FH22" s="4"/>
      <c r="FI22" s="4"/>
      <c r="FJ22" s="4"/>
      <c r="FK22" s="4"/>
      <c r="FL22" s="4"/>
      <c r="FM22" s="4"/>
      <c r="FN22" s="4"/>
      <c r="FO22" s="4"/>
      <c r="FP22" s="4"/>
      <c r="FQ22" s="4"/>
      <c r="FR22" s="4"/>
      <c r="FS22" s="4"/>
      <c r="FT22" s="4"/>
      <c r="FU22" s="4"/>
      <c r="FV22" s="4"/>
      <c r="FW22" s="4"/>
      <c r="FX22" s="4"/>
      <c r="FY22" s="4"/>
      <c r="FZ22" s="4"/>
      <c r="GA22" s="4"/>
      <c r="GB22" s="4"/>
      <c r="GC22" s="4"/>
      <c r="GD22" s="4"/>
      <c r="GE22" s="4"/>
      <c r="GF22" s="4"/>
      <c r="GG22" s="4"/>
    </row>
    <row r="23" spans="1:189" outlineLevel="1">
      <c r="A23" s="110"/>
      <c r="B23" s="110" t="s">
        <v>1080</v>
      </c>
      <c r="C23" s="110">
        <v>2</v>
      </c>
      <c r="D23" s="3" t="s">
        <v>1095</v>
      </c>
      <c r="E23" s="175"/>
      <c r="F23" s="175" t="s">
        <v>1096</v>
      </c>
      <c r="G23" s="175"/>
      <c r="H23" s="175"/>
      <c r="I23" s="175"/>
      <c r="J23" s="175"/>
      <c r="K23" s="175"/>
      <c r="L23" s="175"/>
      <c r="M23" s="176">
        <v>43379</v>
      </c>
      <c r="N23" s="176">
        <v>43397</v>
      </c>
      <c r="O23" s="175"/>
      <c r="P23" s="177">
        <v>28</v>
      </c>
      <c r="Q23" s="177">
        <v>6</v>
      </c>
      <c r="R23" s="178">
        <v>12</v>
      </c>
      <c r="S23" s="178">
        <v>4</v>
      </c>
      <c r="T23" s="176"/>
      <c r="U23" s="176"/>
      <c r="V23" s="179">
        <v>0</v>
      </c>
      <c r="W23" s="180">
        <v>0</v>
      </c>
      <c r="X23" s="181"/>
      <c r="Y23" s="175"/>
      <c r="Z23" s="182"/>
      <c r="AA23" s="94">
        <v>0.21428571428571427</v>
      </c>
      <c r="AB23" s="183">
        <v>0.45</v>
      </c>
      <c r="AC23" s="116"/>
      <c r="AD23" s="4"/>
      <c r="AE23" s="4" t="str">
        <f>" " &amp; TEXT(AB23,"#0.00%") &amp; " " &amp; "분석" &amp; " " &amp; IF(M23="","",TEXT(M23,"M/D-")) &amp; IF(N23="","",TEXT(N23,"M/D")) &amp; " "</f>
        <v xml:space="preserve"> 45.00% 분석 10/6-10/24 </v>
      </c>
      <c r="AF23" s="4"/>
      <c r="AG23" s="4"/>
      <c r="AH23" s="4"/>
      <c r="AI23" s="4"/>
      <c r="AJ23" s="4"/>
      <c r="AK23" s="4"/>
      <c r="AL23" s="4"/>
      <c r="AM23" s="4"/>
      <c r="AN23" s="4"/>
      <c r="AO23" s="4"/>
      <c r="AP23" s="4"/>
      <c r="AQ23" s="4"/>
      <c r="AR23" s="4"/>
      <c r="AS23" s="4"/>
      <c r="AT23" s="4"/>
      <c r="AU23" s="4"/>
      <c r="AV23" s="4"/>
      <c r="AW23" s="4"/>
      <c r="AX23" s="4"/>
      <c r="AY23" s="4"/>
      <c r="AZ23" s="4"/>
      <c r="BA23" s="4"/>
      <c r="BB23" s="4"/>
      <c r="BC23" s="4"/>
      <c r="BD23" s="4"/>
      <c r="BE23" s="4"/>
      <c r="BF23" s="4"/>
      <c r="BG23" s="4"/>
      <c r="BH23" s="4"/>
      <c r="BI23" s="4"/>
      <c r="BJ23" s="4"/>
      <c r="BK23" s="4"/>
      <c r="BL23" s="4"/>
      <c r="BM23" s="4"/>
      <c r="BN23" s="4"/>
      <c r="BO23" s="4"/>
      <c r="BP23" s="4"/>
      <c r="BQ23" s="4"/>
      <c r="BR23" s="4"/>
      <c r="BS23" s="4"/>
      <c r="BT23" s="4"/>
      <c r="BU23" s="4"/>
      <c r="BV23" s="4"/>
      <c r="BW23" s="4"/>
      <c r="BX23" s="4"/>
      <c r="BY23" s="4"/>
      <c r="BZ23" s="4"/>
      <c r="CA23" s="4"/>
      <c r="CB23" s="4"/>
      <c r="CC23" s="4"/>
      <c r="CD23" s="4"/>
      <c r="CE23" s="4"/>
      <c r="CF23" s="4"/>
      <c r="CG23" s="4"/>
      <c r="CH23" s="4"/>
      <c r="CI23" s="4"/>
      <c r="CJ23" s="4"/>
      <c r="CK23" s="4"/>
      <c r="CL23" s="4"/>
      <c r="CM23" s="4"/>
      <c r="CN23" s="4"/>
      <c r="CO23" s="4"/>
      <c r="CP23" s="4"/>
      <c r="CQ23" s="4"/>
      <c r="CR23" s="4"/>
      <c r="CS23" s="4"/>
      <c r="CT23" s="4"/>
      <c r="CU23" s="4"/>
      <c r="CV23" s="4"/>
      <c r="CW23" s="4"/>
      <c r="CX23" s="4"/>
      <c r="CY23" s="4"/>
      <c r="CZ23" s="4"/>
      <c r="DA23" s="4"/>
      <c r="DB23" s="4"/>
      <c r="DC23" s="4"/>
      <c r="DD23" s="4"/>
      <c r="DE23" s="4"/>
      <c r="DF23" s="4"/>
      <c r="DG23" s="4"/>
      <c r="DH23" s="4"/>
      <c r="DI23" s="4"/>
      <c r="DJ23" s="4"/>
      <c r="DK23" s="4"/>
      <c r="DL23" s="4"/>
      <c r="DM23" s="4"/>
      <c r="DN23" s="4"/>
      <c r="DO23" s="4"/>
      <c r="DP23" s="4"/>
      <c r="DQ23" s="4"/>
      <c r="DR23" s="4"/>
      <c r="DS23" s="4"/>
      <c r="DT23" s="4"/>
      <c r="DU23" s="4"/>
      <c r="DV23" s="4"/>
      <c r="DW23" s="4"/>
      <c r="DX23" s="4"/>
      <c r="DY23" s="4"/>
      <c r="DZ23" s="4"/>
      <c r="EA23" s="4"/>
      <c r="EB23" s="4"/>
      <c r="EC23" s="4"/>
      <c r="ED23" s="4"/>
      <c r="EE23" s="4"/>
      <c r="EF23" s="4"/>
      <c r="EG23" s="4"/>
      <c r="EH23" s="4"/>
      <c r="EI23" s="4"/>
      <c r="EJ23" s="4"/>
      <c r="EK23" s="4"/>
      <c r="EL23" s="4"/>
      <c r="EM23" s="4"/>
      <c r="EN23" s="4"/>
      <c r="EO23" s="4"/>
      <c r="EP23" s="4"/>
      <c r="EQ23" s="4"/>
      <c r="ER23" s="4"/>
      <c r="ES23" s="4"/>
      <c r="ET23" s="4"/>
      <c r="EU23" s="4"/>
      <c r="EV23" s="4"/>
      <c r="EW23" s="4"/>
      <c r="EX23" s="4"/>
      <c r="EY23" s="4"/>
      <c r="EZ23" s="4"/>
      <c r="FA23" s="4"/>
      <c r="FB23" s="4"/>
      <c r="FC23" s="4"/>
      <c r="FD23" s="4"/>
      <c r="FE23" s="4"/>
      <c r="FF23" s="4"/>
      <c r="FG23" s="4"/>
      <c r="FH23" s="4"/>
      <c r="FI23" s="4"/>
      <c r="FJ23" s="4"/>
      <c r="FK23" s="4"/>
      <c r="FL23" s="4"/>
      <c r="FM23" s="4"/>
      <c r="FN23" s="4"/>
      <c r="FO23" s="4"/>
      <c r="FP23" s="4"/>
      <c r="FQ23" s="4"/>
      <c r="FR23" s="4"/>
      <c r="FS23" s="4"/>
      <c r="FT23" s="4"/>
      <c r="FU23" s="4"/>
      <c r="FV23" s="4"/>
      <c r="FW23" s="4"/>
      <c r="FX23" s="4"/>
      <c r="FY23" s="4"/>
      <c r="FZ23" s="4"/>
      <c r="GA23" s="4"/>
      <c r="GB23" s="4"/>
      <c r="GC23" s="4"/>
      <c r="GD23" s="4"/>
      <c r="GE23" s="4"/>
      <c r="GF23" s="4"/>
      <c r="GG23" s="4"/>
    </row>
    <row r="24" spans="1:189" outlineLevel="2">
      <c r="A24" s="110"/>
      <c r="B24" s="110"/>
      <c r="C24" s="110">
        <v>3</v>
      </c>
      <c r="D24" s="3" t="s">
        <v>1002</v>
      </c>
      <c r="E24" s="175"/>
      <c r="F24" s="175"/>
      <c r="G24" s="175" t="s">
        <v>1003</v>
      </c>
      <c r="H24" s="175"/>
      <c r="I24" s="175"/>
      <c r="J24" s="175"/>
      <c r="K24" s="175"/>
      <c r="L24" s="175"/>
      <c r="M24" s="176">
        <v>43379</v>
      </c>
      <c r="N24" s="176">
        <v>43397</v>
      </c>
      <c r="O24" s="175"/>
      <c r="P24" s="177">
        <v>12</v>
      </c>
      <c r="Q24" s="177">
        <v>4</v>
      </c>
      <c r="R24" s="178">
        <v>12</v>
      </c>
      <c r="S24" s="178">
        <v>4</v>
      </c>
      <c r="T24" s="176">
        <v>43309</v>
      </c>
      <c r="U24" s="176">
        <v>43327</v>
      </c>
      <c r="V24" s="179">
        <v>12</v>
      </c>
      <c r="W24" s="180">
        <v>12</v>
      </c>
      <c r="X24" s="181">
        <v>1</v>
      </c>
      <c r="Y24" s="175" t="s">
        <v>1097</v>
      </c>
      <c r="Z24" s="182"/>
      <c r="AA24" s="94">
        <v>0.33333333333333331</v>
      </c>
      <c r="AB24" s="183">
        <v>0.45</v>
      </c>
      <c r="AC24" s="116"/>
      <c r="AD24" s="4"/>
      <c r="AE24" s="4" t="str">
        <f>" " &amp; TEXT(AB24,"#0.00%") &amp; " " &amp; "요구사항정의" &amp; "(박길동,정길동,최길동)" &amp; " " &amp; IF(M24="","",TEXT(M24,"M/D-")) &amp; IF(N24="","",TEXT(N24,"M/D")) &amp; " "</f>
        <v xml:space="preserve"> 45.00% 요구사항정의(박길동,정길동,최길동) 10/6-10/24 </v>
      </c>
      <c r="AF24" s="4"/>
      <c r="AG24" s="4"/>
      <c r="AH24" s="4"/>
      <c r="AI24" s="4"/>
      <c r="AJ24" s="4"/>
      <c r="AK24" s="4"/>
      <c r="AL24" s="4"/>
      <c r="AM24" s="4"/>
      <c r="AN24" s="4"/>
      <c r="AO24" s="4"/>
      <c r="AP24" s="4"/>
      <c r="AQ24" s="4"/>
      <c r="AR24" s="4"/>
      <c r="AS24" s="4"/>
      <c r="AT24" s="4"/>
      <c r="AU24" s="4"/>
      <c r="AV24" s="4"/>
      <c r="AW24" s="4"/>
      <c r="AX24" s="4"/>
      <c r="AY24" s="4"/>
      <c r="AZ24" s="4"/>
      <c r="BA24" s="4"/>
      <c r="BB24" s="4"/>
      <c r="BC24" s="4"/>
      <c r="BD24" s="4"/>
      <c r="BE24" s="4"/>
      <c r="BF24" s="4"/>
      <c r="BG24" s="4"/>
      <c r="BH24" s="4"/>
      <c r="BI24" s="4"/>
      <c r="BJ24" s="4"/>
      <c r="BK24" s="4"/>
      <c r="BL24" s="4"/>
      <c r="BM24" s="4"/>
      <c r="BN24" s="4"/>
      <c r="BO24" s="4"/>
      <c r="BP24" s="4"/>
      <c r="BQ24" s="4"/>
      <c r="BR24" s="4"/>
      <c r="BS24" s="4"/>
      <c r="BT24" s="4"/>
      <c r="BU24" s="4"/>
      <c r="BV24" s="4"/>
      <c r="BW24" s="4"/>
      <c r="BX24" s="4"/>
      <c r="BY24" s="4"/>
      <c r="BZ24" s="4"/>
      <c r="CA24" s="4"/>
      <c r="CB24" s="4"/>
      <c r="CC24" s="4"/>
      <c r="CD24" s="4"/>
      <c r="CE24" s="4"/>
      <c r="CF24" s="4"/>
      <c r="CG24" s="4"/>
      <c r="CH24" s="4"/>
      <c r="CI24" s="4"/>
      <c r="CJ24" s="4"/>
      <c r="CK24" s="4"/>
      <c r="CL24" s="4"/>
      <c r="CM24" s="4"/>
      <c r="CN24" s="4"/>
      <c r="CO24" s="4"/>
      <c r="CP24" s="4"/>
      <c r="CQ24" s="4"/>
      <c r="CR24" s="4"/>
      <c r="CS24" s="4"/>
      <c r="CT24" s="4"/>
      <c r="CU24" s="4"/>
      <c r="CV24" s="4"/>
      <c r="CW24" s="4"/>
      <c r="CX24" s="4"/>
      <c r="CY24" s="4"/>
      <c r="CZ24" s="4"/>
      <c r="DA24" s="4"/>
      <c r="DB24" s="4"/>
      <c r="DC24" s="4"/>
      <c r="DD24" s="4"/>
      <c r="DE24" s="4"/>
      <c r="DF24" s="4"/>
      <c r="DG24" s="4"/>
      <c r="DH24" s="4"/>
      <c r="DI24" s="4"/>
      <c r="DJ24" s="4"/>
      <c r="DK24" s="4"/>
      <c r="DL24" s="4"/>
      <c r="DM24" s="4"/>
      <c r="DN24" s="4"/>
      <c r="DO24" s="4"/>
      <c r="DP24" s="4"/>
      <c r="DQ24" s="4"/>
      <c r="DR24" s="4"/>
      <c r="DS24" s="4"/>
      <c r="DT24" s="4"/>
      <c r="DU24" s="4"/>
      <c r="DV24" s="4"/>
      <c r="DW24" s="4"/>
      <c r="DX24" s="4"/>
      <c r="DY24" s="4"/>
      <c r="DZ24" s="4"/>
      <c r="EA24" s="4"/>
      <c r="EB24" s="4"/>
      <c r="EC24" s="4"/>
      <c r="ED24" s="4"/>
      <c r="EE24" s="4"/>
      <c r="EF24" s="4"/>
      <c r="EG24" s="4"/>
      <c r="EH24" s="4"/>
      <c r="EI24" s="4"/>
      <c r="EJ24" s="4"/>
      <c r="EK24" s="4"/>
      <c r="EL24" s="4"/>
      <c r="EM24" s="4"/>
      <c r="EN24" s="4"/>
      <c r="EO24" s="4"/>
      <c r="EP24" s="4"/>
      <c r="EQ24" s="4"/>
      <c r="ER24" s="4"/>
      <c r="ES24" s="4"/>
      <c r="ET24" s="4"/>
      <c r="EU24" s="4"/>
      <c r="EV24" s="4"/>
      <c r="EW24" s="4"/>
      <c r="EX24" s="4"/>
      <c r="EY24" s="4"/>
      <c r="EZ24" s="4"/>
      <c r="FA24" s="4"/>
      <c r="FB24" s="4"/>
      <c r="FC24" s="4"/>
      <c r="FD24" s="4"/>
      <c r="FE24" s="4"/>
      <c r="FF24" s="4"/>
      <c r="FG24" s="4"/>
      <c r="FH24" s="4"/>
      <c r="FI24" s="4"/>
      <c r="FJ24" s="4"/>
      <c r="FK24" s="4"/>
      <c r="FL24" s="4"/>
      <c r="FM24" s="4"/>
      <c r="FN24" s="4"/>
      <c r="FO24" s="4"/>
      <c r="FP24" s="4"/>
      <c r="FQ24" s="4"/>
      <c r="FR24" s="4"/>
      <c r="FS24" s="4"/>
      <c r="FT24" s="4"/>
      <c r="FU24" s="4"/>
      <c r="FV24" s="4"/>
      <c r="FW24" s="4"/>
      <c r="FX24" s="4"/>
      <c r="FY24" s="4"/>
      <c r="FZ24" s="4"/>
      <c r="GA24" s="4"/>
      <c r="GB24" s="4"/>
      <c r="GC24" s="4"/>
      <c r="GD24" s="4"/>
      <c r="GE24" s="4"/>
      <c r="GF24" s="4"/>
      <c r="GG24" s="4"/>
    </row>
    <row r="25" spans="1:189" outlineLevel="2">
      <c r="A25" s="110"/>
      <c r="B25" s="110" t="s">
        <v>1080</v>
      </c>
      <c r="C25" s="110">
        <v>3</v>
      </c>
      <c r="D25" s="3" t="s">
        <v>1098</v>
      </c>
      <c r="E25" s="175"/>
      <c r="F25" s="175"/>
      <c r="G25" s="175" t="s">
        <v>1099</v>
      </c>
      <c r="H25" s="175"/>
      <c r="I25" s="175"/>
      <c r="J25" s="175"/>
      <c r="K25" s="175"/>
      <c r="L25" s="175"/>
      <c r="M25" s="176">
        <v>43385</v>
      </c>
      <c r="N25" s="176">
        <v>43396</v>
      </c>
      <c r="O25" s="175"/>
      <c r="P25" s="177">
        <v>16</v>
      </c>
      <c r="Q25" s="177">
        <v>2</v>
      </c>
      <c r="R25" s="178">
        <v>8</v>
      </c>
      <c r="S25" s="178">
        <v>1</v>
      </c>
      <c r="T25" s="176"/>
      <c r="U25" s="176"/>
      <c r="V25" s="179">
        <v>0</v>
      </c>
      <c r="W25" s="180">
        <v>0</v>
      </c>
      <c r="X25" s="181"/>
      <c r="Y25" s="175"/>
      <c r="Z25" s="182"/>
      <c r="AA25" s="94">
        <v>0.125</v>
      </c>
      <c r="AB25" s="183">
        <v>0.45</v>
      </c>
      <c r="AC25" s="116"/>
      <c r="AD25" s="4"/>
      <c r="AE25" s="4" t="str">
        <f>"   " &amp; TEXT(AB25,"#0.00%") &amp; " " &amp; "논리모델구축" &amp; " " &amp; IF(M25="","",TEXT(M25,"M/D-")) &amp; IF(N25="","",TEXT(N25,"M/D")) &amp; " "</f>
        <v xml:space="preserve">   45.00% 논리모델구축 10/12-10/23 </v>
      </c>
      <c r="AF25" s="4"/>
      <c r="AG25" s="4"/>
      <c r="AH25" s="4"/>
      <c r="AI25" s="4"/>
      <c r="AJ25" s="4"/>
      <c r="AK25" s="4"/>
      <c r="AL25" s="4"/>
      <c r="AM25" s="4"/>
      <c r="AN25" s="4"/>
      <c r="AO25" s="4"/>
      <c r="AP25" s="4"/>
      <c r="AQ25" s="4"/>
      <c r="AR25" s="4"/>
      <c r="AS25" s="4"/>
      <c r="AT25" s="4"/>
      <c r="AU25" s="4"/>
      <c r="AV25" s="4"/>
      <c r="AW25" s="4"/>
      <c r="AX25" s="4"/>
      <c r="AY25" s="4"/>
      <c r="AZ25" s="4"/>
      <c r="BA25" s="4"/>
      <c r="BB25" s="4"/>
      <c r="BC25" s="4"/>
      <c r="BD25" s="4"/>
      <c r="BE25" s="4"/>
      <c r="BF25" s="4"/>
      <c r="BG25" s="4"/>
      <c r="BH25" s="4"/>
      <c r="BI25" s="4"/>
      <c r="BJ25" s="4"/>
      <c r="BK25" s="4"/>
      <c r="BL25" s="4"/>
      <c r="BM25" s="4"/>
      <c r="BN25" s="4"/>
      <c r="BO25" s="4"/>
      <c r="BP25" s="4"/>
      <c r="BQ25" s="4"/>
      <c r="BR25" s="4"/>
      <c r="BS25" s="4"/>
      <c r="BT25" s="4"/>
      <c r="BU25" s="4"/>
      <c r="BV25" s="4"/>
      <c r="BW25" s="4"/>
      <c r="BX25" s="4"/>
      <c r="BY25" s="4"/>
      <c r="BZ25" s="4"/>
      <c r="CA25" s="4"/>
      <c r="CB25" s="4"/>
      <c r="CC25" s="4"/>
      <c r="CD25" s="4"/>
      <c r="CE25" s="4"/>
      <c r="CF25" s="4"/>
      <c r="CG25" s="4"/>
      <c r="CH25" s="4"/>
      <c r="CI25" s="4"/>
      <c r="CJ25" s="4"/>
      <c r="CK25" s="4"/>
      <c r="CL25" s="4"/>
      <c r="CM25" s="4"/>
      <c r="CN25" s="4"/>
      <c r="CO25" s="4"/>
      <c r="CP25" s="4"/>
      <c r="CQ25" s="4"/>
      <c r="CR25" s="4"/>
      <c r="CS25" s="4"/>
      <c r="CT25" s="4"/>
      <c r="CU25" s="4"/>
      <c r="CV25" s="4"/>
      <c r="CW25" s="4"/>
      <c r="CX25" s="4"/>
      <c r="CY25" s="4"/>
      <c r="CZ25" s="4"/>
      <c r="DA25" s="4"/>
      <c r="DB25" s="4"/>
      <c r="DC25" s="4"/>
      <c r="DD25" s="4"/>
      <c r="DE25" s="4"/>
      <c r="DF25" s="4"/>
      <c r="DG25" s="4"/>
      <c r="DH25" s="4"/>
      <c r="DI25" s="4"/>
      <c r="DJ25" s="4"/>
      <c r="DK25" s="4"/>
      <c r="DL25" s="4"/>
      <c r="DM25" s="4"/>
      <c r="DN25" s="4"/>
      <c r="DO25" s="4"/>
      <c r="DP25" s="4"/>
      <c r="DQ25" s="4"/>
      <c r="DR25" s="4"/>
      <c r="DS25" s="4"/>
      <c r="DT25" s="4"/>
      <c r="DU25" s="4"/>
      <c r="DV25" s="4"/>
      <c r="DW25" s="4"/>
      <c r="DX25" s="4"/>
      <c r="DY25" s="4"/>
      <c r="DZ25" s="4"/>
      <c r="EA25" s="4"/>
      <c r="EB25" s="4"/>
      <c r="EC25" s="4"/>
      <c r="ED25" s="4"/>
      <c r="EE25" s="4"/>
      <c r="EF25" s="4"/>
      <c r="EG25" s="4"/>
      <c r="EH25" s="4"/>
      <c r="EI25" s="4"/>
      <c r="EJ25" s="4"/>
      <c r="EK25" s="4"/>
      <c r="EL25" s="4"/>
      <c r="EM25" s="4"/>
      <c r="EN25" s="4"/>
      <c r="EO25" s="4"/>
      <c r="EP25" s="4"/>
      <c r="EQ25" s="4"/>
      <c r="ER25" s="4"/>
      <c r="ES25" s="4"/>
      <c r="ET25" s="4"/>
      <c r="EU25" s="4"/>
      <c r="EV25" s="4"/>
      <c r="EW25" s="4"/>
      <c r="EX25" s="4"/>
      <c r="EY25" s="4"/>
      <c r="EZ25" s="4"/>
      <c r="FA25" s="4"/>
      <c r="FB25" s="4"/>
      <c r="FC25" s="4"/>
      <c r="FD25" s="4"/>
      <c r="FE25" s="4"/>
      <c r="FF25" s="4"/>
      <c r="FG25" s="4"/>
      <c r="FH25" s="4"/>
      <c r="FI25" s="4"/>
      <c r="FJ25" s="4"/>
      <c r="FK25" s="4"/>
      <c r="FL25" s="4"/>
      <c r="FM25" s="4"/>
      <c r="FN25" s="4"/>
      <c r="FO25" s="4"/>
      <c r="FP25" s="4"/>
      <c r="FQ25" s="4"/>
      <c r="FR25" s="4"/>
      <c r="FS25" s="4"/>
      <c r="FT25" s="4"/>
      <c r="FU25" s="4"/>
      <c r="FV25" s="4"/>
      <c r="FW25" s="4"/>
      <c r="FX25" s="4"/>
      <c r="FY25" s="4"/>
      <c r="FZ25" s="4"/>
      <c r="GA25" s="4"/>
      <c r="GB25" s="4"/>
      <c r="GC25" s="4"/>
      <c r="GD25" s="4"/>
      <c r="GE25" s="4"/>
      <c r="GF25" s="4"/>
      <c r="GG25" s="4"/>
    </row>
    <row r="26" spans="1:189" outlineLevel="3">
      <c r="A26" s="110"/>
      <c r="B26" s="110"/>
      <c r="C26" s="110">
        <v>4</v>
      </c>
      <c r="D26" s="3" t="s">
        <v>1007</v>
      </c>
      <c r="E26" s="175"/>
      <c r="F26" s="175"/>
      <c r="G26" s="175"/>
      <c r="H26" s="175" t="s">
        <v>1008</v>
      </c>
      <c r="I26" s="175"/>
      <c r="J26" s="175"/>
      <c r="K26" s="175"/>
      <c r="L26" s="175"/>
      <c r="M26" s="176">
        <v>43385</v>
      </c>
      <c r="N26" s="176">
        <v>43396</v>
      </c>
      <c r="O26" s="175"/>
      <c r="P26" s="177">
        <v>8</v>
      </c>
      <c r="Q26" s="177">
        <v>1</v>
      </c>
      <c r="R26" s="178">
        <v>8</v>
      </c>
      <c r="S26" s="178">
        <v>1</v>
      </c>
      <c r="T26" s="176">
        <v>43315</v>
      </c>
      <c r="U26" s="176">
        <v>43326</v>
      </c>
      <c r="V26" s="179">
        <v>8</v>
      </c>
      <c r="W26" s="180">
        <v>8</v>
      </c>
      <c r="X26" s="181">
        <v>1</v>
      </c>
      <c r="Y26" s="175" t="s">
        <v>1005</v>
      </c>
      <c r="Z26" s="182"/>
      <c r="AA26" s="94">
        <v>0.125</v>
      </c>
      <c r="AB26" s="183">
        <v>0.4</v>
      </c>
      <c r="AC26" s="116"/>
      <c r="AD26" s="4"/>
      <c r="AE26" s="4" t="str">
        <f>"   " &amp; TEXT(AB26,"#0.00%") &amp; " " &amp; "프로세스모델링" &amp; "(정길동)" &amp; " " &amp; IF(M26="","",TEXT(M26,"M/D-")) &amp; IF(N26="","",TEXT(N26,"M/D")) &amp; " "</f>
        <v xml:space="preserve">   40.00% 프로세스모델링(정길동) 10/12-10/23 </v>
      </c>
      <c r="AF26" s="4"/>
      <c r="AG26" s="4"/>
      <c r="AH26" s="4"/>
      <c r="AI26" s="4"/>
      <c r="AJ26" s="4"/>
      <c r="AK26" s="4"/>
      <c r="AL26" s="4"/>
      <c r="AM26" s="4"/>
      <c r="AN26" s="4"/>
      <c r="AO26" s="4"/>
      <c r="AP26" s="4"/>
      <c r="AQ26" s="4"/>
      <c r="AR26" s="4"/>
      <c r="AS26" s="4"/>
      <c r="AT26" s="4"/>
      <c r="AU26" s="4"/>
      <c r="AV26" s="4"/>
      <c r="AW26" s="4"/>
      <c r="AX26" s="4"/>
      <c r="AY26" s="4"/>
      <c r="AZ26" s="4"/>
      <c r="BA26" s="4"/>
      <c r="BB26" s="4"/>
      <c r="BC26" s="4"/>
      <c r="BD26" s="4"/>
      <c r="BE26" s="4"/>
      <c r="BF26" s="4"/>
      <c r="BG26" s="4"/>
      <c r="BH26" s="4"/>
      <c r="BI26" s="4"/>
      <c r="BJ26" s="4"/>
      <c r="BK26" s="4"/>
      <c r="BL26" s="4"/>
      <c r="BM26" s="4"/>
      <c r="BN26" s="4"/>
      <c r="BO26" s="4"/>
      <c r="BP26" s="4"/>
      <c r="BQ26" s="4"/>
      <c r="BR26" s="4"/>
      <c r="BS26" s="4"/>
      <c r="BT26" s="4"/>
      <c r="BU26" s="4"/>
      <c r="BV26" s="4"/>
      <c r="BW26" s="4"/>
      <c r="BX26" s="4"/>
      <c r="BY26" s="4"/>
      <c r="BZ26" s="4"/>
      <c r="CA26" s="4"/>
      <c r="CB26" s="4"/>
      <c r="CC26" s="4"/>
      <c r="CD26" s="4"/>
      <c r="CE26" s="4"/>
      <c r="CF26" s="4"/>
      <c r="CG26" s="4"/>
      <c r="CH26" s="4"/>
      <c r="CI26" s="4"/>
      <c r="CJ26" s="4"/>
      <c r="CK26" s="4"/>
      <c r="CL26" s="4"/>
      <c r="CM26" s="4"/>
      <c r="CN26" s="4"/>
      <c r="CO26" s="4"/>
      <c r="CP26" s="4"/>
      <c r="CQ26" s="4"/>
      <c r="CR26" s="4"/>
      <c r="CS26" s="4"/>
      <c r="CT26" s="4"/>
      <c r="CU26" s="4"/>
      <c r="CV26" s="4"/>
      <c r="CW26" s="4"/>
      <c r="CX26" s="4"/>
      <c r="CY26" s="4"/>
      <c r="CZ26" s="4"/>
      <c r="DA26" s="4"/>
      <c r="DB26" s="4"/>
      <c r="DC26" s="4"/>
      <c r="DD26" s="4"/>
      <c r="DE26" s="4"/>
      <c r="DF26" s="4"/>
      <c r="DG26" s="4"/>
      <c r="DH26" s="4"/>
      <c r="DI26" s="4"/>
      <c r="DJ26" s="4"/>
      <c r="DK26" s="4"/>
      <c r="DL26" s="4"/>
      <c r="DM26" s="4"/>
      <c r="DN26" s="4"/>
      <c r="DO26" s="4"/>
      <c r="DP26" s="4"/>
      <c r="DQ26" s="4"/>
      <c r="DR26" s="4"/>
      <c r="DS26" s="4"/>
      <c r="DT26" s="4"/>
      <c r="DU26" s="4"/>
      <c r="DV26" s="4"/>
      <c r="DW26" s="4"/>
      <c r="DX26" s="4"/>
      <c r="DY26" s="4"/>
      <c r="DZ26" s="4"/>
      <c r="EA26" s="4"/>
      <c r="EB26" s="4"/>
      <c r="EC26" s="4"/>
      <c r="ED26" s="4"/>
      <c r="EE26" s="4"/>
      <c r="EF26" s="4"/>
      <c r="EG26" s="4"/>
      <c r="EH26" s="4"/>
      <c r="EI26" s="4"/>
      <c r="EJ26" s="4"/>
      <c r="EK26" s="4"/>
      <c r="EL26" s="4"/>
      <c r="EM26" s="4"/>
      <c r="EN26" s="4"/>
      <c r="EO26" s="4"/>
      <c r="EP26" s="4"/>
      <c r="EQ26" s="4"/>
      <c r="ER26" s="4"/>
      <c r="ES26" s="4"/>
      <c r="ET26" s="4"/>
      <c r="EU26" s="4"/>
      <c r="EV26" s="4"/>
      <c r="EW26" s="4"/>
      <c r="EX26" s="4"/>
      <c r="EY26" s="4"/>
      <c r="EZ26" s="4"/>
      <c r="FA26" s="4"/>
      <c r="FB26" s="4"/>
      <c r="FC26" s="4"/>
      <c r="FD26" s="4"/>
      <c r="FE26" s="4"/>
      <c r="FF26" s="4"/>
      <c r="FG26" s="4"/>
      <c r="FH26" s="4"/>
      <c r="FI26" s="4"/>
      <c r="FJ26" s="4"/>
      <c r="FK26" s="4"/>
      <c r="FL26" s="4"/>
      <c r="FM26" s="4"/>
      <c r="FN26" s="4"/>
      <c r="FO26" s="4"/>
      <c r="FP26" s="4"/>
      <c r="FQ26" s="4"/>
      <c r="FR26" s="4"/>
      <c r="FS26" s="4"/>
      <c r="FT26" s="4"/>
      <c r="FU26" s="4"/>
      <c r="FV26" s="4"/>
      <c r="FW26" s="4"/>
      <c r="FX26" s="4"/>
      <c r="FY26" s="4"/>
      <c r="FZ26" s="4"/>
      <c r="GA26" s="4"/>
      <c r="GB26" s="4"/>
      <c r="GC26" s="4"/>
      <c r="GD26" s="4"/>
      <c r="GE26" s="4"/>
      <c r="GF26" s="4"/>
      <c r="GG26" s="4"/>
    </row>
    <row r="27" spans="1:189" outlineLevel="3">
      <c r="A27" s="110"/>
      <c r="B27" s="110"/>
      <c r="C27" s="110">
        <v>4</v>
      </c>
      <c r="D27" s="3" t="s">
        <v>1009</v>
      </c>
      <c r="E27" s="175"/>
      <c r="F27" s="175"/>
      <c r="G27" s="175"/>
      <c r="H27" s="175" t="s">
        <v>1010</v>
      </c>
      <c r="I27" s="175"/>
      <c r="J27" s="175"/>
      <c r="K27" s="175"/>
      <c r="L27" s="175"/>
      <c r="M27" s="176">
        <v>43385</v>
      </c>
      <c r="N27" s="176">
        <v>43396</v>
      </c>
      <c r="O27" s="175"/>
      <c r="P27" s="177">
        <v>8</v>
      </c>
      <c r="Q27" s="177">
        <v>1</v>
      </c>
      <c r="R27" s="178">
        <v>8</v>
      </c>
      <c r="S27" s="178">
        <v>1</v>
      </c>
      <c r="T27" s="176">
        <v>43315</v>
      </c>
      <c r="U27" s="176">
        <v>43326</v>
      </c>
      <c r="V27" s="179">
        <v>8</v>
      </c>
      <c r="W27" s="180">
        <v>8</v>
      </c>
      <c r="X27" s="181">
        <v>1</v>
      </c>
      <c r="Y27" s="175" t="s">
        <v>1005</v>
      </c>
      <c r="Z27" s="182" t="s">
        <v>1100</v>
      </c>
      <c r="AA27" s="94">
        <v>0.125</v>
      </c>
      <c r="AB27" s="183">
        <v>0.5</v>
      </c>
      <c r="AC27" s="116"/>
      <c r="AD27" s="4"/>
      <c r="AE27" s="4" t="str">
        <f>"    " &amp; TEXT(AB27,"#0.00%") &amp; " " &amp; "데이터모델링" &amp; "(정길동)" &amp; " " &amp; IF(M27="","",TEXT(M27,"M/D-")) &amp; IF(N27="","",TEXT(N27,"M/D")) &amp; " "</f>
        <v xml:space="preserve">    50.00% 데이터모델링(정길동) 10/12-10/23 </v>
      </c>
      <c r="AF27" s="4"/>
      <c r="AG27" s="4"/>
      <c r="AH27" s="4"/>
      <c r="AI27" s="4"/>
      <c r="AJ27" s="4"/>
      <c r="AK27" s="4"/>
      <c r="AL27" s="4"/>
      <c r="AM27" s="4"/>
      <c r="AN27" s="4"/>
      <c r="AO27" s="4"/>
      <c r="AP27" s="4"/>
      <c r="AQ27" s="4"/>
      <c r="AR27" s="4"/>
      <c r="AS27" s="4"/>
      <c r="AT27" s="4"/>
      <c r="AU27" s="4"/>
      <c r="AV27" s="4"/>
      <c r="AW27" s="4"/>
      <c r="AX27" s="4"/>
      <c r="AY27" s="4"/>
      <c r="AZ27" s="4"/>
      <c r="BA27" s="4"/>
      <c r="BB27" s="4"/>
      <c r="BC27" s="4"/>
      <c r="BD27" s="4"/>
      <c r="BE27" s="4"/>
      <c r="BF27" s="4"/>
      <c r="BG27" s="4"/>
      <c r="BH27" s="4"/>
      <c r="BI27" s="4"/>
      <c r="BJ27" s="4"/>
      <c r="BK27" s="4"/>
      <c r="BL27" s="4"/>
      <c r="BM27" s="4"/>
      <c r="BN27" s="4"/>
      <c r="BO27" s="4"/>
      <c r="BP27" s="4"/>
      <c r="BQ27" s="4"/>
      <c r="BR27" s="4"/>
      <c r="BS27" s="4"/>
      <c r="BT27" s="4"/>
      <c r="BU27" s="4"/>
      <c r="BV27" s="4"/>
      <c r="BW27" s="4"/>
      <c r="BX27" s="4"/>
      <c r="BY27" s="4"/>
      <c r="BZ27" s="4"/>
      <c r="CA27" s="4"/>
      <c r="CB27" s="4"/>
      <c r="CC27" s="4"/>
      <c r="CD27" s="4"/>
      <c r="CE27" s="4"/>
      <c r="CF27" s="4"/>
      <c r="CG27" s="4"/>
      <c r="CH27" s="4"/>
      <c r="CI27" s="4"/>
      <c r="CJ27" s="4"/>
      <c r="CK27" s="4"/>
      <c r="CL27" s="4"/>
      <c r="CM27" s="4"/>
      <c r="CN27" s="4"/>
      <c r="CO27" s="4"/>
      <c r="CP27" s="4"/>
      <c r="CQ27" s="4"/>
      <c r="CR27" s="4"/>
      <c r="CS27" s="4"/>
      <c r="CT27" s="4"/>
      <c r="CU27" s="4"/>
      <c r="CV27" s="4"/>
      <c r="CW27" s="4"/>
      <c r="CX27" s="4"/>
      <c r="CY27" s="4"/>
      <c r="CZ27" s="4"/>
      <c r="DA27" s="4"/>
      <c r="DB27" s="4"/>
      <c r="DC27" s="4"/>
      <c r="DD27" s="4"/>
      <c r="DE27" s="4"/>
      <c r="DF27" s="4"/>
      <c r="DG27" s="4"/>
      <c r="DH27" s="4"/>
      <c r="DI27" s="4"/>
      <c r="DJ27" s="4"/>
      <c r="DK27" s="4"/>
      <c r="DL27" s="4"/>
      <c r="DM27" s="4"/>
      <c r="DN27" s="4"/>
      <c r="DO27" s="4"/>
      <c r="DP27" s="4"/>
      <c r="DQ27" s="4"/>
      <c r="DR27" s="4"/>
      <c r="DS27" s="4"/>
      <c r="DT27" s="4"/>
      <c r="DU27" s="4"/>
      <c r="DV27" s="4"/>
      <c r="DW27" s="4"/>
      <c r="DX27" s="4"/>
      <c r="DY27" s="4"/>
      <c r="DZ27" s="4"/>
      <c r="EA27" s="4"/>
      <c r="EB27" s="4"/>
      <c r="EC27" s="4"/>
      <c r="ED27" s="4"/>
      <c r="EE27" s="4"/>
      <c r="EF27" s="4"/>
      <c r="EG27" s="4"/>
      <c r="EH27" s="4"/>
      <c r="EI27" s="4"/>
      <c r="EJ27" s="4"/>
      <c r="EK27" s="4"/>
      <c r="EL27" s="4"/>
      <c r="EM27" s="4"/>
      <c r="EN27" s="4"/>
      <c r="EO27" s="4"/>
      <c r="EP27" s="4"/>
      <c r="EQ27" s="4"/>
      <c r="ER27" s="4"/>
      <c r="ES27" s="4"/>
      <c r="ET27" s="4"/>
      <c r="EU27" s="4"/>
      <c r="EV27" s="4"/>
      <c r="EW27" s="4"/>
      <c r="EX27" s="4"/>
      <c r="EY27" s="4"/>
      <c r="EZ27" s="4"/>
      <c r="FA27" s="4"/>
      <c r="FB27" s="4"/>
      <c r="FC27" s="4"/>
      <c r="FD27" s="4"/>
      <c r="FE27" s="4"/>
      <c r="FF27" s="4"/>
      <c r="FG27" s="4"/>
      <c r="FH27" s="4"/>
      <c r="FI27" s="4"/>
      <c r="FJ27" s="4"/>
      <c r="FK27" s="4"/>
      <c r="FL27" s="4"/>
      <c r="FM27" s="4"/>
      <c r="FN27" s="4"/>
      <c r="FO27" s="4"/>
      <c r="FP27" s="4"/>
      <c r="FQ27" s="4"/>
      <c r="FR27" s="4"/>
      <c r="FS27" s="4"/>
      <c r="FT27" s="4"/>
      <c r="FU27" s="4"/>
      <c r="FV27" s="4"/>
      <c r="FW27" s="4"/>
      <c r="FX27" s="4"/>
      <c r="FY27" s="4"/>
      <c r="FZ27" s="4"/>
      <c r="GA27" s="4"/>
      <c r="GB27" s="4"/>
      <c r="GC27" s="4"/>
      <c r="GD27" s="4"/>
      <c r="GE27" s="4"/>
      <c r="GF27" s="4"/>
      <c r="GG27" s="4"/>
    </row>
    <row r="28" spans="1:189" outlineLevel="1">
      <c r="A28" s="110"/>
      <c r="B28" s="110" t="s">
        <v>1080</v>
      </c>
      <c r="C28" s="110">
        <v>2</v>
      </c>
      <c r="D28" s="3" t="s">
        <v>1101</v>
      </c>
      <c r="E28" s="175"/>
      <c r="F28" s="175" t="s">
        <v>1102</v>
      </c>
      <c r="G28" s="175"/>
      <c r="H28" s="175"/>
      <c r="I28" s="175"/>
      <c r="J28" s="175"/>
      <c r="K28" s="175"/>
      <c r="L28" s="175"/>
      <c r="M28" s="176">
        <v>43399</v>
      </c>
      <c r="N28" s="176">
        <v>43438</v>
      </c>
      <c r="O28" s="175"/>
      <c r="P28" s="177">
        <v>45</v>
      </c>
      <c r="Q28" s="177">
        <v>0</v>
      </c>
      <c r="R28" s="178">
        <v>28</v>
      </c>
      <c r="S28" s="178">
        <v>0</v>
      </c>
      <c r="T28" s="176"/>
      <c r="U28" s="176"/>
      <c r="V28" s="179">
        <v>0</v>
      </c>
      <c r="W28" s="180">
        <v>0</v>
      </c>
      <c r="X28" s="181"/>
      <c r="Y28" s="175"/>
      <c r="Z28" s="182"/>
      <c r="AA28" s="94">
        <v>0</v>
      </c>
      <c r="AB28" s="183">
        <v>9.5333333333333339E-2</v>
      </c>
      <c r="AC28" s="116"/>
      <c r="AD28" s="4"/>
      <c r="AE28" s="4"/>
      <c r="AF28" s="4"/>
      <c r="AG28" s="4" t="str">
        <f>"  " &amp; TEXT(AB28,"#0.00%") &amp; " "</f>
        <v xml:space="preserve">  9.53% </v>
      </c>
      <c r="AH28" s="4"/>
      <c r="AI28" s="4"/>
      <c r="AJ28" s="4"/>
      <c r="AK28" s="4"/>
      <c r="AL28" s="4" t="str">
        <f>"   " &amp; "설계" &amp; " " &amp; IF(M28="","",TEXT(M28,"M/D-")) &amp; IF(N28="","",TEXT(N28,"M/D")) &amp; " "</f>
        <v xml:space="preserve">   설계 10/26-12/4 </v>
      </c>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c r="CY28" s="4"/>
      <c r="CZ28" s="4"/>
      <c r="DA28" s="4"/>
      <c r="DB28" s="4"/>
      <c r="DC28" s="4"/>
      <c r="DD28" s="4"/>
      <c r="DE28" s="4"/>
      <c r="DF28" s="4"/>
      <c r="DG28" s="4"/>
      <c r="DH28" s="4"/>
      <c r="DI28" s="4"/>
      <c r="DJ28" s="4"/>
      <c r="DK28" s="4"/>
      <c r="DL28" s="4"/>
      <c r="DM28" s="4"/>
      <c r="DN28" s="4"/>
      <c r="DO28" s="4"/>
      <c r="DP28" s="4"/>
      <c r="DQ28" s="4"/>
      <c r="DR28" s="4"/>
      <c r="DS28" s="4"/>
      <c r="DT28" s="4"/>
      <c r="DU28" s="4"/>
      <c r="DV28" s="4"/>
      <c r="DW28" s="4"/>
      <c r="DX28" s="4"/>
      <c r="DY28" s="4"/>
      <c r="DZ28" s="4"/>
      <c r="EA28" s="4"/>
      <c r="EB28" s="4"/>
      <c r="EC28" s="4"/>
      <c r="ED28" s="4"/>
      <c r="EE28" s="4"/>
      <c r="EF28" s="4"/>
      <c r="EG28" s="4"/>
      <c r="EH28" s="4"/>
      <c r="EI28" s="4"/>
      <c r="EJ28" s="4"/>
      <c r="EK28" s="4"/>
      <c r="EL28" s="4"/>
      <c r="EM28" s="4"/>
      <c r="EN28" s="4"/>
      <c r="EO28" s="4"/>
      <c r="EP28" s="4"/>
      <c r="EQ28" s="4"/>
      <c r="ER28" s="4"/>
      <c r="ES28" s="4"/>
      <c r="ET28" s="4"/>
      <c r="EU28" s="4"/>
      <c r="EV28" s="4"/>
      <c r="EW28" s="4"/>
      <c r="EX28" s="4"/>
      <c r="EY28" s="4"/>
      <c r="EZ28" s="4"/>
      <c r="FA28" s="4"/>
      <c r="FB28" s="4"/>
      <c r="FC28" s="4"/>
      <c r="FD28" s="4"/>
      <c r="FE28" s="4"/>
      <c r="FF28" s="4"/>
      <c r="FG28" s="4"/>
      <c r="FH28" s="4"/>
      <c r="FI28" s="4"/>
      <c r="FJ28" s="4"/>
      <c r="FK28" s="4"/>
      <c r="FL28" s="4"/>
      <c r="FM28" s="4"/>
      <c r="FN28" s="4"/>
      <c r="FO28" s="4"/>
      <c r="FP28" s="4"/>
      <c r="FQ28" s="4"/>
      <c r="FR28" s="4"/>
      <c r="FS28" s="4"/>
      <c r="FT28" s="4"/>
      <c r="FU28" s="4"/>
      <c r="FV28" s="4"/>
      <c r="FW28" s="4"/>
      <c r="FX28" s="4"/>
      <c r="FY28" s="4"/>
      <c r="FZ28" s="4"/>
      <c r="GA28" s="4"/>
      <c r="GB28" s="4"/>
      <c r="GC28" s="4"/>
      <c r="GD28" s="4"/>
      <c r="GE28" s="4"/>
      <c r="GF28" s="4"/>
      <c r="GG28" s="4"/>
    </row>
    <row r="29" spans="1:189" outlineLevel="2">
      <c r="A29" s="110"/>
      <c r="B29" s="110"/>
      <c r="C29" s="110">
        <v>3</v>
      </c>
      <c r="D29" s="3" t="s">
        <v>1011</v>
      </c>
      <c r="E29" s="175"/>
      <c r="F29" s="175"/>
      <c r="G29" s="175" t="s">
        <v>1012</v>
      </c>
      <c r="H29" s="175"/>
      <c r="I29" s="175"/>
      <c r="J29" s="175"/>
      <c r="K29" s="175"/>
      <c r="L29" s="175"/>
      <c r="M29" s="176">
        <v>43399</v>
      </c>
      <c r="N29" s="176">
        <v>43417</v>
      </c>
      <c r="O29" s="175"/>
      <c r="P29" s="177">
        <v>13</v>
      </c>
      <c r="Q29" s="177">
        <v>0</v>
      </c>
      <c r="R29" s="178">
        <v>13</v>
      </c>
      <c r="S29" s="178">
        <v>0</v>
      </c>
      <c r="T29" s="176">
        <v>43329</v>
      </c>
      <c r="U29" s="176"/>
      <c r="V29" s="179">
        <v>-30942</v>
      </c>
      <c r="W29" s="180">
        <v>0</v>
      </c>
      <c r="X29" s="181">
        <v>1</v>
      </c>
      <c r="Y29" s="175" t="s">
        <v>1013</v>
      </c>
      <c r="Z29" s="182"/>
      <c r="AA29" s="94">
        <v>0</v>
      </c>
      <c r="AB29" s="183">
        <v>0.33</v>
      </c>
      <c r="AC29" s="116"/>
      <c r="AD29" s="4"/>
      <c r="AE29" s="4"/>
      <c r="AF29" s="4"/>
      <c r="AG29" s="4" t="str">
        <f>"    " &amp; TEXT(AB29,"#0.00%") &amp; " " &amp; "UI 설계" &amp; "(유아인)" &amp; " " &amp; IF(M29="","",TEXT(M29,"M/D-")) &amp; IF(N29="","",TEXT(N29,"M/D")) &amp; " "</f>
        <v xml:space="preserve">    33.00% UI 설계(유아인) 10/26-11/13 </v>
      </c>
      <c r="AH29" s="4"/>
      <c r="AI29" s="4"/>
      <c r="AJ29" s="4"/>
      <c r="AK29" s="4"/>
      <c r="AL29" s="4"/>
      <c r="AM29" s="4"/>
      <c r="AN29" s="4"/>
      <c r="AO29" s="4"/>
      <c r="AP29" s="4"/>
      <c r="AQ29" s="4"/>
      <c r="AR29" s="4"/>
      <c r="AS29" s="4"/>
      <c r="AT29" s="4"/>
      <c r="AU29" s="4"/>
      <c r="AV29" s="4"/>
      <c r="AW29" s="4"/>
      <c r="AX29" s="4"/>
      <c r="AY29" s="4"/>
      <c r="AZ29" s="4"/>
      <c r="BA29" s="4"/>
      <c r="BB29" s="4"/>
      <c r="BC29" s="4"/>
      <c r="BD29" s="4"/>
      <c r="BE29" s="4"/>
      <c r="BF29" s="4"/>
      <c r="BG29" s="4"/>
      <c r="BH29" s="4"/>
      <c r="BI29" s="4"/>
      <c r="BJ29" s="4"/>
      <c r="BK29" s="4"/>
      <c r="BL29" s="4"/>
      <c r="BM29" s="4"/>
      <c r="BN29" s="4"/>
      <c r="BO29" s="4"/>
      <c r="BP29" s="4"/>
      <c r="BQ29" s="4"/>
      <c r="BR29" s="4"/>
      <c r="BS29" s="4"/>
      <c r="BT29" s="4"/>
      <c r="BU29" s="4"/>
      <c r="BV29" s="4"/>
      <c r="BW29" s="4"/>
      <c r="BX29" s="4"/>
      <c r="BY29" s="4"/>
      <c r="BZ29" s="4"/>
      <c r="CA29" s="4"/>
      <c r="CB29" s="4"/>
      <c r="CC29" s="4"/>
      <c r="CD29" s="4"/>
      <c r="CE29" s="4"/>
      <c r="CF29" s="4"/>
      <c r="CG29" s="4"/>
      <c r="CH29" s="4"/>
      <c r="CI29" s="4"/>
      <c r="CJ29" s="4"/>
      <c r="CK29" s="4"/>
      <c r="CL29" s="4"/>
      <c r="CM29" s="4"/>
      <c r="CN29" s="4"/>
      <c r="CO29" s="4"/>
      <c r="CP29" s="4"/>
      <c r="CQ29" s="4"/>
      <c r="CR29" s="4"/>
      <c r="CS29" s="4"/>
      <c r="CT29" s="4"/>
      <c r="CU29" s="4"/>
      <c r="CV29" s="4"/>
      <c r="CW29" s="4"/>
      <c r="CX29" s="4"/>
      <c r="CY29" s="4"/>
      <c r="CZ29" s="4"/>
      <c r="DA29" s="4"/>
      <c r="DB29" s="4"/>
      <c r="DC29" s="4"/>
      <c r="DD29" s="4"/>
      <c r="DE29" s="4"/>
      <c r="DF29" s="4"/>
      <c r="DG29" s="4"/>
      <c r="DH29" s="4"/>
      <c r="DI29" s="4"/>
      <c r="DJ29" s="4"/>
      <c r="DK29" s="4"/>
      <c r="DL29" s="4"/>
      <c r="DM29" s="4"/>
      <c r="DN29" s="4"/>
      <c r="DO29" s="4"/>
      <c r="DP29" s="4"/>
      <c r="DQ29" s="4"/>
      <c r="DR29" s="4"/>
      <c r="DS29" s="4"/>
      <c r="DT29" s="4"/>
      <c r="DU29" s="4"/>
      <c r="DV29" s="4"/>
      <c r="DW29" s="4"/>
      <c r="DX29" s="4"/>
      <c r="DY29" s="4"/>
      <c r="DZ29" s="4"/>
      <c r="EA29" s="4"/>
      <c r="EB29" s="4"/>
      <c r="EC29" s="4"/>
      <c r="ED29" s="4"/>
      <c r="EE29" s="4"/>
      <c r="EF29" s="4"/>
      <c r="EG29" s="4"/>
      <c r="EH29" s="4"/>
      <c r="EI29" s="4"/>
      <c r="EJ29" s="4"/>
      <c r="EK29" s="4"/>
      <c r="EL29" s="4"/>
      <c r="EM29" s="4"/>
      <c r="EN29" s="4"/>
      <c r="EO29" s="4"/>
      <c r="EP29" s="4"/>
      <c r="EQ29" s="4"/>
      <c r="ER29" s="4"/>
      <c r="ES29" s="4"/>
      <c r="ET29" s="4"/>
      <c r="EU29" s="4"/>
      <c r="EV29" s="4"/>
      <c r="EW29" s="4"/>
      <c r="EX29" s="4"/>
      <c r="EY29" s="4"/>
      <c r="EZ29" s="4"/>
      <c r="FA29" s="4"/>
      <c r="FB29" s="4"/>
      <c r="FC29" s="4"/>
      <c r="FD29" s="4"/>
      <c r="FE29" s="4"/>
      <c r="FF29" s="4"/>
      <c r="FG29" s="4"/>
      <c r="FH29" s="4"/>
      <c r="FI29" s="4"/>
      <c r="FJ29" s="4"/>
      <c r="FK29" s="4"/>
      <c r="FL29" s="4"/>
      <c r="FM29" s="4"/>
      <c r="FN29" s="4"/>
      <c r="FO29" s="4"/>
      <c r="FP29" s="4"/>
      <c r="FQ29" s="4"/>
      <c r="FR29" s="4"/>
      <c r="FS29" s="4"/>
      <c r="FT29" s="4"/>
      <c r="FU29" s="4"/>
      <c r="FV29" s="4"/>
      <c r="FW29" s="4"/>
      <c r="FX29" s="4"/>
      <c r="FY29" s="4"/>
      <c r="FZ29" s="4"/>
      <c r="GA29" s="4"/>
      <c r="GB29" s="4"/>
      <c r="GC29" s="4"/>
      <c r="GD29" s="4"/>
      <c r="GE29" s="4"/>
      <c r="GF29" s="4"/>
      <c r="GG29" s="4"/>
    </row>
    <row r="30" spans="1:189" outlineLevel="2">
      <c r="A30" s="110"/>
      <c r="B30" s="110" t="s">
        <v>1080</v>
      </c>
      <c r="C30" s="110">
        <v>3</v>
      </c>
      <c r="D30" s="3" t="s">
        <v>1103</v>
      </c>
      <c r="E30" s="175"/>
      <c r="F30" s="175"/>
      <c r="G30" s="175" t="s">
        <v>1104</v>
      </c>
      <c r="H30" s="175"/>
      <c r="I30" s="175"/>
      <c r="J30" s="175"/>
      <c r="K30" s="175"/>
      <c r="L30" s="175"/>
      <c r="M30" s="176">
        <v>43406</v>
      </c>
      <c r="N30" s="176">
        <v>43431</v>
      </c>
      <c r="O30" s="175"/>
      <c r="P30" s="177">
        <v>29</v>
      </c>
      <c r="Q30" s="177">
        <v>0</v>
      </c>
      <c r="R30" s="178">
        <v>18</v>
      </c>
      <c r="S30" s="178">
        <v>0</v>
      </c>
      <c r="T30" s="176"/>
      <c r="U30" s="176"/>
      <c r="V30" s="179">
        <v>0</v>
      </c>
      <c r="W30" s="180">
        <v>0</v>
      </c>
      <c r="X30" s="181"/>
      <c r="Y30" s="175"/>
      <c r="Z30" s="182"/>
      <c r="AA30" s="94">
        <v>0</v>
      </c>
      <c r="AB30" s="183">
        <v>0</v>
      </c>
      <c r="AC30" s="116"/>
      <c r="AD30" s="4"/>
      <c r="AE30" s="4"/>
      <c r="AF30" s="4"/>
      <c r="AG30" s="4" t="str">
        <f>"     " &amp; TEXT(AB30,"#0.00%") &amp; " "</f>
        <v xml:space="preserve">     0.00% </v>
      </c>
      <c r="AH30" s="4"/>
      <c r="AI30" s="4"/>
      <c r="AJ30" s="4"/>
      <c r="AK30" s="4" t="str">
        <f>"   " &amp; "시스템 설계" &amp; " " &amp; IF(M30="","",TEXT(M30,"M/D-")) &amp; IF(N30="","",TEXT(N30,"M/D")) &amp; " "</f>
        <v xml:space="preserve">   시스템 설계 11/2-11/27 </v>
      </c>
      <c r="AL30" s="4"/>
      <c r="AM30" s="4"/>
      <c r="AN30" s="4"/>
      <c r="AO30" s="4"/>
      <c r="AP30" s="4"/>
      <c r="AQ30" s="4"/>
      <c r="AR30" s="4"/>
      <c r="AS30" s="4"/>
      <c r="AT30" s="4"/>
      <c r="AU30" s="4"/>
      <c r="AV30" s="4"/>
      <c r="AW30" s="4"/>
      <c r="AX30" s="4"/>
      <c r="AY30" s="4"/>
      <c r="AZ30" s="4"/>
      <c r="BA30" s="4"/>
      <c r="BB30" s="4"/>
      <c r="BC30" s="4"/>
      <c r="BD30" s="4"/>
      <c r="BE30" s="4"/>
      <c r="BF30" s="4"/>
      <c r="BG30" s="4"/>
      <c r="BH30" s="4"/>
      <c r="BI30" s="4"/>
      <c r="BJ30" s="4"/>
      <c r="BK30" s="4"/>
      <c r="BL30" s="4"/>
      <c r="BM30" s="4"/>
      <c r="BN30" s="4"/>
      <c r="BO30" s="4"/>
      <c r="BP30" s="4"/>
      <c r="BQ30" s="4"/>
      <c r="BR30" s="4"/>
      <c r="BS30" s="4"/>
      <c r="BT30" s="4"/>
      <c r="BU30" s="4"/>
      <c r="BV30" s="4"/>
      <c r="BW30" s="4"/>
      <c r="BX30" s="4"/>
      <c r="BY30" s="4"/>
      <c r="BZ30" s="4"/>
      <c r="CA30" s="4"/>
      <c r="CB30" s="4"/>
      <c r="CC30" s="4"/>
      <c r="CD30" s="4"/>
      <c r="CE30" s="4"/>
      <c r="CF30" s="4"/>
      <c r="CG30" s="4"/>
      <c r="CH30" s="4"/>
      <c r="CI30" s="4"/>
      <c r="CJ30" s="4"/>
      <c r="CK30" s="4"/>
      <c r="CL30" s="4"/>
      <c r="CM30" s="4"/>
      <c r="CN30" s="4"/>
      <c r="CO30" s="4"/>
      <c r="CP30" s="4"/>
      <c r="CQ30" s="4"/>
      <c r="CR30" s="4"/>
      <c r="CS30" s="4"/>
      <c r="CT30" s="4"/>
      <c r="CU30" s="4"/>
      <c r="CV30" s="4"/>
      <c r="CW30" s="4"/>
      <c r="CX30" s="4"/>
      <c r="CY30" s="4"/>
      <c r="CZ30" s="4"/>
      <c r="DA30" s="4"/>
      <c r="DB30" s="4"/>
      <c r="DC30" s="4"/>
      <c r="DD30" s="4"/>
      <c r="DE30" s="4"/>
      <c r="DF30" s="4"/>
      <c r="DG30" s="4"/>
      <c r="DH30" s="4"/>
      <c r="DI30" s="4"/>
      <c r="DJ30" s="4"/>
      <c r="DK30" s="4"/>
      <c r="DL30" s="4"/>
      <c r="DM30" s="4"/>
      <c r="DN30" s="4"/>
      <c r="DO30" s="4"/>
      <c r="DP30" s="4"/>
      <c r="DQ30" s="4"/>
      <c r="DR30" s="4"/>
      <c r="DS30" s="4"/>
      <c r="DT30" s="4"/>
      <c r="DU30" s="4"/>
      <c r="DV30" s="4"/>
      <c r="DW30" s="4"/>
      <c r="DX30" s="4"/>
      <c r="DY30" s="4"/>
      <c r="DZ30" s="4"/>
      <c r="EA30" s="4"/>
      <c r="EB30" s="4"/>
      <c r="EC30" s="4"/>
      <c r="ED30" s="4"/>
      <c r="EE30" s="4"/>
      <c r="EF30" s="4"/>
      <c r="EG30" s="4"/>
      <c r="EH30" s="4"/>
      <c r="EI30" s="4"/>
      <c r="EJ30" s="4"/>
      <c r="EK30" s="4"/>
      <c r="EL30" s="4"/>
      <c r="EM30" s="4"/>
      <c r="EN30" s="4"/>
      <c r="EO30" s="4"/>
      <c r="EP30" s="4"/>
      <c r="EQ30" s="4"/>
      <c r="ER30" s="4"/>
      <c r="ES30" s="4"/>
      <c r="ET30" s="4"/>
      <c r="EU30" s="4"/>
      <c r="EV30" s="4"/>
      <c r="EW30" s="4"/>
      <c r="EX30" s="4"/>
      <c r="EY30" s="4"/>
      <c r="EZ30" s="4"/>
      <c r="FA30" s="4"/>
      <c r="FB30" s="4"/>
      <c r="FC30" s="4"/>
      <c r="FD30" s="4"/>
      <c r="FE30" s="4"/>
      <c r="FF30" s="4"/>
      <c r="FG30" s="4"/>
      <c r="FH30" s="4"/>
      <c r="FI30" s="4"/>
      <c r="FJ30" s="4"/>
      <c r="FK30" s="4"/>
      <c r="FL30" s="4"/>
      <c r="FM30" s="4"/>
      <c r="FN30" s="4"/>
      <c r="FO30" s="4"/>
      <c r="FP30" s="4"/>
      <c r="FQ30" s="4"/>
      <c r="FR30" s="4"/>
      <c r="FS30" s="4"/>
      <c r="FT30" s="4"/>
      <c r="FU30" s="4"/>
      <c r="FV30" s="4"/>
      <c r="FW30" s="4"/>
      <c r="FX30" s="4"/>
      <c r="FY30" s="4"/>
      <c r="FZ30" s="4"/>
      <c r="GA30" s="4"/>
      <c r="GB30" s="4"/>
      <c r="GC30" s="4"/>
      <c r="GD30" s="4"/>
      <c r="GE30" s="4"/>
      <c r="GF30" s="4"/>
      <c r="GG30" s="4"/>
    </row>
    <row r="31" spans="1:189" outlineLevel="3">
      <c r="A31" s="110"/>
      <c r="B31" s="110"/>
      <c r="C31" s="110">
        <v>4</v>
      </c>
      <c r="D31" s="3" t="s">
        <v>1014</v>
      </c>
      <c r="E31" s="175"/>
      <c r="F31" s="175"/>
      <c r="G31" s="175"/>
      <c r="H31" s="175" t="s">
        <v>1015</v>
      </c>
      <c r="I31" s="175"/>
      <c r="J31" s="175"/>
      <c r="K31" s="175"/>
      <c r="L31" s="175"/>
      <c r="M31" s="176">
        <v>43406</v>
      </c>
      <c r="N31" s="176">
        <v>43417</v>
      </c>
      <c r="O31" s="175"/>
      <c r="P31" s="177">
        <v>8</v>
      </c>
      <c r="Q31" s="177">
        <v>0</v>
      </c>
      <c r="R31" s="178">
        <v>8</v>
      </c>
      <c r="S31" s="178">
        <v>0</v>
      </c>
      <c r="T31" s="176">
        <v>43336</v>
      </c>
      <c r="U31" s="176"/>
      <c r="V31" s="179">
        <v>-30947</v>
      </c>
      <c r="W31" s="180">
        <v>0</v>
      </c>
      <c r="X31" s="181">
        <v>1</v>
      </c>
      <c r="Y31" s="175" t="s">
        <v>1016</v>
      </c>
      <c r="Z31" s="182"/>
      <c r="AA31" s="94">
        <v>0</v>
      </c>
      <c r="AB31" s="183">
        <v>0</v>
      </c>
      <c r="AC31" s="116"/>
      <c r="AD31" s="4"/>
      <c r="AE31" s="4"/>
      <c r="AF31" s="4"/>
      <c r="AG31" s="4" t="str">
        <f>"     " &amp; TEXT(AB31,"#0.00%") &amp; " " &amp; "Architecture설계" &amp; "(김아키)" &amp; " " &amp; IF(M31="","",TEXT(M31,"M/D-")) &amp; IF(N31="","",TEXT(N31,"M/D")) &amp; " "</f>
        <v xml:space="preserve">     0.00% Architecture설계(김아키) 11/2-11/13 </v>
      </c>
      <c r="AH31" s="4"/>
      <c r="AI31" s="4"/>
      <c r="AJ31" s="4"/>
      <c r="AK31" s="4"/>
      <c r="AL31" s="4"/>
      <c r="AM31" s="4"/>
      <c r="AN31" s="4"/>
      <c r="AO31" s="4"/>
      <c r="AP31" s="4"/>
      <c r="AQ31" s="4"/>
      <c r="AR31" s="4"/>
      <c r="AS31" s="4"/>
      <c r="AT31" s="4"/>
      <c r="AU31" s="4"/>
      <c r="AV31" s="4"/>
      <c r="AW31" s="4"/>
      <c r="AX31" s="4"/>
      <c r="AY31" s="4"/>
      <c r="AZ31" s="4"/>
      <c r="BA31" s="4"/>
      <c r="BB31" s="4"/>
      <c r="BC31" s="4"/>
      <c r="BD31" s="4"/>
      <c r="BE31" s="4"/>
      <c r="BF31" s="4"/>
      <c r="BG31" s="4"/>
      <c r="BH31" s="4"/>
      <c r="BI31" s="4"/>
      <c r="BJ31" s="4"/>
      <c r="BK31" s="4"/>
      <c r="BL31" s="4"/>
      <c r="BM31" s="4"/>
      <c r="BN31" s="4"/>
      <c r="BO31" s="4"/>
      <c r="BP31" s="4"/>
      <c r="BQ31" s="4"/>
      <c r="BR31" s="4"/>
      <c r="BS31" s="4"/>
      <c r="BT31" s="4"/>
      <c r="BU31" s="4"/>
      <c r="BV31" s="4"/>
      <c r="BW31" s="4"/>
      <c r="BX31" s="4"/>
      <c r="BY31" s="4"/>
      <c r="BZ31" s="4"/>
      <c r="CA31" s="4"/>
      <c r="CB31" s="4"/>
      <c r="CC31" s="4"/>
      <c r="CD31" s="4"/>
      <c r="CE31" s="4"/>
      <c r="CF31" s="4"/>
      <c r="CG31" s="4"/>
      <c r="CH31" s="4"/>
      <c r="CI31" s="4"/>
      <c r="CJ31" s="4"/>
      <c r="CK31" s="4"/>
      <c r="CL31" s="4"/>
      <c r="CM31" s="4"/>
      <c r="CN31" s="4"/>
      <c r="CO31" s="4"/>
      <c r="CP31" s="4"/>
      <c r="CQ31" s="4"/>
      <c r="CR31" s="4"/>
      <c r="CS31" s="4"/>
      <c r="CT31" s="4"/>
      <c r="CU31" s="4"/>
      <c r="CV31" s="4"/>
      <c r="CW31" s="4"/>
      <c r="CX31" s="4"/>
      <c r="CY31" s="4"/>
      <c r="CZ31" s="4"/>
      <c r="DA31" s="4"/>
      <c r="DB31" s="4"/>
      <c r="DC31" s="4"/>
      <c r="DD31" s="4"/>
      <c r="DE31" s="4"/>
      <c r="DF31" s="4"/>
      <c r="DG31" s="4"/>
      <c r="DH31" s="4"/>
      <c r="DI31" s="4"/>
      <c r="DJ31" s="4"/>
      <c r="DK31" s="4"/>
      <c r="DL31" s="4"/>
      <c r="DM31" s="4"/>
      <c r="DN31" s="4"/>
      <c r="DO31" s="4"/>
      <c r="DP31" s="4"/>
      <c r="DQ31" s="4"/>
      <c r="DR31" s="4"/>
      <c r="DS31" s="4"/>
      <c r="DT31" s="4"/>
      <c r="DU31" s="4"/>
      <c r="DV31" s="4"/>
      <c r="DW31" s="4"/>
      <c r="DX31" s="4"/>
      <c r="DY31" s="4"/>
      <c r="DZ31" s="4"/>
      <c r="EA31" s="4"/>
      <c r="EB31" s="4"/>
      <c r="EC31" s="4"/>
      <c r="ED31" s="4"/>
      <c r="EE31" s="4"/>
      <c r="EF31" s="4"/>
      <c r="EG31" s="4"/>
      <c r="EH31" s="4"/>
      <c r="EI31" s="4"/>
      <c r="EJ31" s="4"/>
      <c r="EK31" s="4"/>
      <c r="EL31" s="4"/>
      <c r="EM31" s="4"/>
      <c r="EN31" s="4"/>
      <c r="EO31" s="4"/>
      <c r="EP31" s="4"/>
      <c r="EQ31" s="4"/>
      <c r="ER31" s="4"/>
      <c r="ES31" s="4"/>
      <c r="ET31" s="4"/>
      <c r="EU31" s="4"/>
      <c r="EV31" s="4"/>
      <c r="EW31" s="4"/>
      <c r="EX31" s="4"/>
      <c r="EY31" s="4"/>
      <c r="EZ31" s="4"/>
      <c r="FA31" s="4"/>
      <c r="FB31" s="4"/>
      <c r="FC31" s="4"/>
      <c r="FD31" s="4"/>
      <c r="FE31" s="4"/>
      <c r="FF31" s="4"/>
      <c r="FG31" s="4"/>
      <c r="FH31" s="4"/>
      <c r="FI31" s="4"/>
      <c r="FJ31" s="4"/>
      <c r="FK31" s="4"/>
      <c r="FL31" s="4"/>
      <c r="FM31" s="4"/>
      <c r="FN31" s="4"/>
      <c r="FO31" s="4"/>
      <c r="FP31" s="4"/>
      <c r="FQ31" s="4"/>
      <c r="FR31" s="4"/>
      <c r="FS31" s="4"/>
      <c r="FT31" s="4"/>
      <c r="FU31" s="4"/>
      <c r="FV31" s="4"/>
      <c r="FW31" s="4"/>
      <c r="FX31" s="4"/>
      <c r="FY31" s="4"/>
      <c r="FZ31" s="4"/>
      <c r="GA31" s="4"/>
      <c r="GB31" s="4"/>
      <c r="GC31" s="4"/>
      <c r="GD31" s="4"/>
      <c r="GE31" s="4"/>
      <c r="GF31" s="4"/>
      <c r="GG31" s="4"/>
    </row>
    <row r="32" spans="1:189" outlineLevel="3">
      <c r="A32" s="110"/>
      <c r="B32" s="110"/>
      <c r="C32" s="110">
        <v>4</v>
      </c>
      <c r="D32" s="3" t="s">
        <v>1017</v>
      </c>
      <c r="E32" s="175"/>
      <c r="F32" s="175"/>
      <c r="G32" s="175"/>
      <c r="H32" s="175" t="s">
        <v>1018</v>
      </c>
      <c r="I32" s="175"/>
      <c r="J32" s="175"/>
      <c r="K32" s="175"/>
      <c r="L32" s="175"/>
      <c r="M32" s="176">
        <v>43413</v>
      </c>
      <c r="N32" s="176">
        <v>43424</v>
      </c>
      <c r="O32" s="175"/>
      <c r="P32" s="177">
        <v>8</v>
      </c>
      <c r="Q32" s="177">
        <v>0</v>
      </c>
      <c r="R32" s="178">
        <v>8</v>
      </c>
      <c r="S32" s="178">
        <v>0</v>
      </c>
      <c r="T32" s="176"/>
      <c r="U32" s="176"/>
      <c r="V32" s="179"/>
      <c r="W32" s="180">
        <v>0</v>
      </c>
      <c r="X32" s="181">
        <v>1</v>
      </c>
      <c r="Y32" s="175" t="s">
        <v>1019</v>
      </c>
      <c r="Z32" s="182"/>
      <c r="AA32" s="94">
        <v>0</v>
      </c>
      <c r="AB32" s="183">
        <v>0</v>
      </c>
      <c r="AC32" s="116"/>
      <c r="AD32" s="4"/>
      <c r="AE32" s="4"/>
      <c r="AF32" s="4"/>
      <c r="AG32" s="4"/>
      <c r="AH32" s="4" t="str">
        <f>"     " &amp; TEXT(AB32,"#0.00%") &amp; " " &amp; "데이터베이스설계" &amp; "(김디비)" &amp; " " &amp; IF(M32="","",TEXT(M32,"M/D-")) &amp; IF(N32="","",TEXT(N32,"M/D")) &amp; " "</f>
        <v xml:space="preserve">     0.00% 데이터베이스설계(김디비) 11/9-11/20 </v>
      </c>
      <c r="AI32" s="4"/>
      <c r="AJ32" s="4"/>
      <c r="AK32" s="4"/>
      <c r="AL32" s="4"/>
      <c r="AM32" s="4"/>
      <c r="AN32" s="4"/>
      <c r="AO32" s="4"/>
      <c r="AP32" s="4"/>
      <c r="AQ32" s="4"/>
      <c r="AR32" s="4"/>
      <c r="AS32" s="4"/>
      <c r="AT32" s="4"/>
      <c r="AU32" s="4"/>
      <c r="AV32" s="4"/>
      <c r="AW32" s="4"/>
      <c r="AX32" s="4"/>
      <c r="AY32" s="4"/>
      <c r="AZ32" s="4"/>
      <c r="BA32" s="4"/>
      <c r="BB32" s="4"/>
      <c r="BC32" s="4"/>
      <c r="BD32" s="4"/>
      <c r="BE32" s="4"/>
      <c r="BF32" s="4"/>
      <c r="BG32" s="4"/>
      <c r="BH32" s="4"/>
      <c r="BI32" s="4"/>
      <c r="BJ32" s="4"/>
      <c r="BK32" s="4"/>
      <c r="BL32" s="4"/>
      <c r="BM32" s="4"/>
      <c r="BN32" s="4"/>
      <c r="BO32" s="4"/>
      <c r="BP32" s="4"/>
      <c r="BQ32" s="4"/>
      <c r="BR32" s="4"/>
      <c r="BS32" s="4"/>
      <c r="BT32" s="4"/>
      <c r="BU32" s="4"/>
      <c r="BV32" s="4"/>
      <c r="BW32" s="4"/>
      <c r="BX32" s="4"/>
      <c r="BY32" s="4"/>
      <c r="BZ32" s="4"/>
      <c r="CA32" s="4"/>
      <c r="CB32" s="4"/>
      <c r="CC32" s="4"/>
      <c r="CD32" s="4"/>
      <c r="CE32" s="4"/>
      <c r="CF32" s="4"/>
      <c r="CG32" s="4"/>
      <c r="CH32" s="4"/>
      <c r="CI32" s="4"/>
      <c r="CJ32" s="4"/>
      <c r="CK32" s="4"/>
      <c r="CL32" s="4"/>
      <c r="CM32" s="4"/>
      <c r="CN32" s="4"/>
      <c r="CO32" s="4"/>
      <c r="CP32" s="4"/>
      <c r="CQ32" s="4"/>
      <c r="CR32" s="4"/>
      <c r="CS32" s="4"/>
      <c r="CT32" s="4"/>
      <c r="CU32" s="4"/>
      <c r="CV32" s="4"/>
      <c r="CW32" s="4"/>
      <c r="CX32" s="4"/>
      <c r="CY32" s="4"/>
      <c r="CZ32" s="4"/>
      <c r="DA32" s="4"/>
      <c r="DB32" s="4"/>
      <c r="DC32" s="4"/>
      <c r="DD32" s="4"/>
      <c r="DE32" s="4"/>
      <c r="DF32" s="4"/>
      <c r="DG32" s="4"/>
      <c r="DH32" s="4"/>
      <c r="DI32" s="4"/>
      <c r="DJ32" s="4"/>
      <c r="DK32" s="4"/>
      <c r="DL32" s="4"/>
      <c r="DM32" s="4"/>
      <c r="DN32" s="4"/>
      <c r="DO32" s="4"/>
      <c r="DP32" s="4"/>
      <c r="DQ32" s="4"/>
      <c r="DR32" s="4"/>
      <c r="DS32" s="4"/>
      <c r="DT32" s="4"/>
      <c r="DU32" s="4"/>
      <c r="DV32" s="4"/>
      <c r="DW32" s="4"/>
      <c r="DX32" s="4"/>
      <c r="DY32" s="4"/>
      <c r="DZ32" s="4"/>
      <c r="EA32" s="4"/>
      <c r="EB32" s="4"/>
      <c r="EC32" s="4"/>
      <c r="ED32" s="4"/>
      <c r="EE32" s="4"/>
      <c r="EF32" s="4"/>
      <c r="EG32" s="4"/>
      <c r="EH32" s="4"/>
      <c r="EI32" s="4"/>
      <c r="EJ32" s="4"/>
      <c r="EK32" s="4"/>
      <c r="EL32" s="4"/>
      <c r="EM32" s="4"/>
      <c r="EN32" s="4"/>
      <c r="EO32" s="4"/>
      <c r="EP32" s="4"/>
      <c r="EQ32" s="4"/>
      <c r="ER32" s="4"/>
      <c r="ES32" s="4"/>
      <c r="ET32" s="4"/>
      <c r="EU32" s="4"/>
      <c r="EV32" s="4"/>
      <c r="EW32" s="4"/>
      <c r="EX32" s="4"/>
      <c r="EY32" s="4"/>
      <c r="EZ32" s="4"/>
      <c r="FA32" s="4"/>
      <c r="FB32" s="4"/>
      <c r="FC32" s="4"/>
      <c r="FD32" s="4"/>
      <c r="FE32" s="4"/>
      <c r="FF32" s="4"/>
      <c r="FG32" s="4"/>
      <c r="FH32" s="4"/>
      <c r="FI32" s="4"/>
      <c r="FJ32" s="4"/>
      <c r="FK32" s="4"/>
      <c r="FL32" s="4"/>
      <c r="FM32" s="4"/>
      <c r="FN32" s="4"/>
      <c r="FO32" s="4"/>
      <c r="FP32" s="4"/>
      <c r="FQ32" s="4"/>
      <c r="FR32" s="4"/>
      <c r="FS32" s="4"/>
      <c r="FT32" s="4"/>
      <c r="FU32" s="4"/>
      <c r="FV32" s="4"/>
      <c r="FW32" s="4"/>
      <c r="FX32" s="4"/>
      <c r="FY32" s="4"/>
      <c r="FZ32" s="4"/>
      <c r="GA32" s="4"/>
      <c r="GB32" s="4"/>
      <c r="GC32" s="4"/>
      <c r="GD32" s="4"/>
      <c r="GE32" s="4"/>
      <c r="GF32" s="4"/>
      <c r="GG32" s="4"/>
    </row>
    <row r="33" spans="1:189" outlineLevel="3">
      <c r="A33" s="110"/>
      <c r="B33" s="110"/>
      <c r="C33" s="110">
        <v>4</v>
      </c>
      <c r="D33" s="3" t="s">
        <v>1020</v>
      </c>
      <c r="E33" s="175"/>
      <c r="F33" s="175"/>
      <c r="G33" s="175"/>
      <c r="H33" s="175" t="s">
        <v>1021</v>
      </c>
      <c r="I33" s="175"/>
      <c r="J33" s="175"/>
      <c r="K33" s="175"/>
      <c r="L33" s="175"/>
      <c r="M33" s="176">
        <v>43413</v>
      </c>
      <c r="N33" s="176">
        <v>43431</v>
      </c>
      <c r="O33" s="175"/>
      <c r="P33" s="177">
        <v>13</v>
      </c>
      <c r="Q33" s="177">
        <v>0</v>
      </c>
      <c r="R33" s="178">
        <v>13</v>
      </c>
      <c r="S33" s="178">
        <v>0</v>
      </c>
      <c r="T33" s="176"/>
      <c r="U33" s="176"/>
      <c r="V33" s="179"/>
      <c r="W33" s="180">
        <v>0</v>
      </c>
      <c r="X33" s="181">
        <v>1</v>
      </c>
      <c r="Y33" s="175" t="s">
        <v>1022</v>
      </c>
      <c r="Z33" s="182" t="s">
        <v>1105</v>
      </c>
      <c r="AA33" s="94">
        <v>0</v>
      </c>
      <c r="AB33" s="183">
        <v>0</v>
      </c>
      <c r="AC33" s="116"/>
      <c r="AD33" s="4"/>
      <c r="AE33" s="4"/>
      <c r="AF33" s="4"/>
      <c r="AG33" s="4"/>
      <c r="AH33" s="4" t="str">
        <f>"     " &amp; TEXT(AB33,"#0.00%") &amp; " " &amp; "프로그램설계" &amp; "(김프로)" &amp; " " &amp; IF(M33="","",TEXT(M33,"M/D-")) &amp; IF(N33="","",TEXT(N33,"M/D")) &amp; " "</f>
        <v xml:space="preserve">     0.00% 프로그램설계(김프로) 11/9-11/27 </v>
      </c>
      <c r="AI33" s="4"/>
      <c r="AJ33" s="4"/>
      <c r="AK33" s="4"/>
      <c r="AL33" s="4"/>
      <c r="AM33" s="4"/>
      <c r="AN33" s="4"/>
      <c r="AO33" s="4"/>
      <c r="AP33" s="4"/>
      <c r="AQ33" s="4"/>
      <c r="AR33" s="4"/>
      <c r="AS33" s="4"/>
      <c r="AT33" s="4"/>
      <c r="AU33" s="4"/>
      <c r="AV33" s="4"/>
      <c r="AW33" s="4"/>
      <c r="AX33" s="4"/>
      <c r="AY33" s="4"/>
      <c r="AZ33" s="4"/>
      <c r="BA33" s="4"/>
      <c r="BB33" s="4"/>
      <c r="BC33" s="4"/>
      <c r="BD33" s="4"/>
      <c r="BE33" s="4"/>
      <c r="BF33" s="4"/>
      <c r="BG33" s="4"/>
      <c r="BH33" s="4"/>
      <c r="BI33" s="4"/>
      <c r="BJ33" s="4"/>
      <c r="BK33" s="4"/>
      <c r="BL33" s="4"/>
      <c r="BM33" s="4"/>
      <c r="BN33" s="4"/>
      <c r="BO33" s="4"/>
      <c r="BP33" s="4"/>
      <c r="BQ33" s="4"/>
      <c r="BR33" s="4"/>
      <c r="BS33" s="4"/>
      <c r="BT33" s="4"/>
      <c r="BU33" s="4"/>
      <c r="BV33" s="4"/>
      <c r="BW33" s="4"/>
      <c r="BX33" s="4"/>
      <c r="BY33" s="4"/>
      <c r="BZ33" s="4"/>
      <c r="CA33" s="4"/>
      <c r="CB33" s="4"/>
      <c r="CC33" s="4"/>
      <c r="CD33" s="4"/>
      <c r="CE33" s="4"/>
      <c r="CF33" s="4"/>
      <c r="CG33" s="4"/>
      <c r="CH33" s="4"/>
      <c r="CI33" s="4"/>
      <c r="CJ33" s="4"/>
      <c r="CK33" s="4"/>
      <c r="CL33" s="4"/>
      <c r="CM33" s="4"/>
      <c r="CN33" s="4"/>
      <c r="CO33" s="4"/>
      <c r="CP33" s="4"/>
      <c r="CQ33" s="4"/>
      <c r="CR33" s="4"/>
      <c r="CS33" s="4"/>
      <c r="CT33" s="4"/>
      <c r="CU33" s="4"/>
      <c r="CV33" s="4"/>
      <c r="CW33" s="4"/>
      <c r="CX33" s="4"/>
      <c r="CY33" s="4"/>
      <c r="CZ33" s="4"/>
      <c r="DA33" s="4"/>
      <c r="DB33" s="4"/>
      <c r="DC33" s="4"/>
      <c r="DD33" s="4"/>
      <c r="DE33" s="4"/>
      <c r="DF33" s="4"/>
      <c r="DG33" s="4"/>
      <c r="DH33" s="4"/>
      <c r="DI33" s="4"/>
      <c r="DJ33" s="4"/>
      <c r="DK33" s="4"/>
      <c r="DL33" s="4"/>
      <c r="DM33" s="4"/>
      <c r="DN33" s="4"/>
      <c r="DO33" s="4"/>
      <c r="DP33" s="4"/>
      <c r="DQ33" s="4"/>
      <c r="DR33" s="4"/>
      <c r="DS33" s="4"/>
      <c r="DT33" s="4"/>
      <c r="DU33" s="4"/>
      <c r="DV33" s="4"/>
      <c r="DW33" s="4"/>
      <c r="DX33" s="4"/>
      <c r="DY33" s="4"/>
      <c r="DZ33" s="4"/>
      <c r="EA33" s="4"/>
      <c r="EB33" s="4"/>
      <c r="EC33" s="4"/>
      <c r="ED33" s="4"/>
      <c r="EE33" s="4"/>
      <c r="EF33" s="4"/>
      <c r="EG33" s="4"/>
      <c r="EH33" s="4"/>
      <c r="EI33" s="4"/>
      <c r="EJ33" s="4"/>
      <c r="EK33" s="4"/>
      <c r="EL33" s="4"/>
      <c r="EM33" s="4"/>
      <c r="EN33" s="4"/>
      <c r="EO33" s="4"/>
      <c r="EP33" s="4"/>
      <c r="EQ33" s="4"/>
      <c r="ER33" s="4"/>
      <c r="ES33" s="4"/>
      <c r="ET33" s="4"/>
      <c r="EU33" s="4"/>
      <c r="EV33" s="4"/>
      <c r="EW33" s="4"/>
      <c r="EX33" s="4"/>
      <c r="EY33" s="4"/>
      <c r="EZ33" s="4"/>
      <c r="FA33" s="4"/>
      <c r="FB33" s="4"/>
      <c r="FC33" s="4"/>
      <c r="FD33" s="4"/>
      <c r="FE33" s="4"/>
      <c r="FF33" s="4"/>
      <c r="FG33" s="4"/>
      <c r="FH33" s="4"/>
      <c r="FI33" s="4"/>
      <c r="FJ33" s="4"/>
      <c r="FK33" s="4"/>
      <c r="FL33" s="4"/>
      <c r="FM33" s="4"/>
      <c r="FN33" s="4"/>
      <c r="FO33" s="4"/>
      <c r="FP33" s="4"/>
      <c r="FQ33" s="4"/>
      <c r="FR33" s="4"/>
      <c r="FS33" s="4"/>
      <c r="FT33" s="4"/>
      <c r="FU33" s="4"/>
      <c r="FV33" s="4"/>
      <c r="FW33" s="4"/>
      <c r="FX33" s="4"/>
      <c r="FY33" s="4"/>
      <c r="FZ33" s="4"/>
      <c r="GA33" s="4"/>
      <c r="GB33" s="4"/>
      <c r="GC33" s="4"/>
      <c r="GD33" s="4"/>
      <c r="GE33" s="4"/>
      <c r="GF33" s="4"/>
      <c r="GG33" s="4"/>
    </row>
    <row r="34" spans="1:189" outlineLevel="2">
      <c r="A34" s="110"/>
      <c r="B34" s="110"/>
      <c r="C34" s="110">
        <v>3</v>
      </c>
      <c r="D34" s="3" t="s">
        <v>1023</v>
      </c>
      <c r="E34" s="175"/>
      <c r="F34" s="175"/>
      <c r="G34" s="175" t="s">
        <v>1024</v>
      </c>
      <c r="H34" s="175"/>
      <c r="I34" s="175"/>
      <c r="J34" s="175"/>
      <c r="K34" s="175"/>
      <c r="L34" s="175"/>
      <c r="M34" s="176">
        <v>43434</v>
      </c>
      <c r="N34" s="176">
        <v>43438</v>
      </c>
      <c r="O34" s="175"/>
      <c r="P34" s="177">
        <v>3</v>
      </c>
      <c r="Q34" s="177">
        <v>0</v>
      </c>
      <c r="R34" s="178">
        <v>3</v>
      </c>
      <c r="S34" s="178">
        <v>0</v>
      </c>
      <c r="T34" s="176"/>
      <c r="U34" s="176"/>
      <c r="V34" s="179"/>
      <c r="W34" s="180">
        <v>0</v>
      </c>
      <c r="X34" s="181">
        <v>1</v>
      </c>
      <c r="Y34" s="175" t="s">
        <v>1022</v>
      </c>
      <c r="Z34" s="182"/>
      <c r="AA34" s="94">
        <v>0</v>
      </c>
      <c r="AB34" s="183">
        <v>0</v>
      </c>
      <c r="AC34" s="116"/>
      <c r="AD34" s="4"/>
      <c r="AE34" s="4"/>
      <c r="AF34" s="4"/>
      <c r="AG34" s="4"/>
      <c r="AH34" s="4"/>
      <c r="AI34" s="4"/>
      <c r="AJ34" s="4"/>
      <c r="AK34" s="4" t="str">
        <f>"     " &amp; TEXT(AB34,"#0.00%") &amp; " " &amp; "테스트 설계" &amp; "(김프로)" &amp; " " &amp; IF(M34="","",TEXT(M34,"M/D-")) &amp; IF(N34="","",TEXT(N34,"M/D")) &amp; " "</f>
        <v xml:space="preserve">     0.00% 테스트 설계(김프로) 11/30-12/4 </v>
      </c>
      <c r="AL34" s="4"/>
      <c r="AM34" s="4"/>
      <c r="AN34" s="4"/>
      <c r="AO34" s="4"/>
      <c r="AP34" s="4"/>
      <c r="AQ34" s="4"/>
      <c r="AR34" s="4"/>
      <c r="AS34" s="4"/>
      <c r="AT34" s="4"/>
      <c r="AU34" s="4"/>
      <c r="AV34" s="4"/>
      <c r="AW34" s="4"/>
      <c r="AX34" s="4"/>
      <c r="AY34" s="4"/>
      <c r="AZ34" s="4"/>
      <c r="BA34" s="4"/>
      <c r="BB34" s="4"/>
      <c r="BC34" s="4"/>
      <c r="BD34" s="4"/>
      <c r="BE34" s="4"/>
      <c r="BF34" s="4"/>
      <c r="BG34" s="4"/>
      <c r="BH34" s="4"/>
      <c r="BI34" s="4"/>
      <c r="BJ34" s="4"/>
      <c r="BK34" s="4"/>
      <c r="BL34" s="4"/>
      <c r="BM34" s="4"/>
      <c r="BN34" s="4"/>
      <c r="BO34" s="4"/>
      <c r="BP34" s="4"/>
      <c r="BQ34" s="4"/>
      <c r="BR34" s="4"/>
      <c r="BS34" s="4"/>
      <c r="BT34" s="4"/>
      <c r="BU34" s="4"/>
      <c r="BV34" s="4"/>
      <c r="BW34" s="4"/>
      <c r="BX34" s="4"/>
      <c r="BY34" s="4"/>
      <c r="BZ34" s="4"/>
      <c r="CA34" s="4"/>
      <c r="CB34" s="4"/>
      <c r="CC34" s="4"/>
      <c r="CD34" s="4"/>
      <c r="CE34" s="4"/>
      <c r="CF34" s="4"/>
      <c r="CG34" s="4"/>
      <c r="CH34" s="4"/>
      <c r="CI34" s="4"/>
      <c r="CJ34" s="4"/>
      <c r="CK34" s="4"/>
      <c r="CL34" s="4"/>
      <c r="CM34" s="4"/>
      <c r="CN34" s="4"/>
      <c r="CO34" s="4"/>
      <c r="CP34" s="4"/>
      <c r="CQ34" s="4"/>
      <c r="CR34" s="4"/>
      <c r="CS34" s="4"/>
      <c r="CT34" s="4"/>
      <c r="CU34" s="4"/>
      <c r="CV34" s="4"/>
      <c r="CW34" s="4"/>
      <c r="CX34" s="4"/>
      <c r="CY34" s="4"/>
      <c r="CZ34" s="4"/>
      <c r="DA34" s="4"/>
      <c r="DB34" s="4"/>
      <c r="DC34" s="4"/>
      <c r="DD34" s="4"/>
      <c r="DE34" s="4"/>
      <c r="DF34" s="4"/>
      <c r="DG34" s="4"/>
      <c r="DH34" s="4"/>
      <c r="DI34" s="4"/>
      <c r="DJ34" s="4"/>
      <c r="DK34" s="4"/>
      <c r="DL34" s="4"/>
      <c r="DM34" s="4"/>
      <c r="DN34" s="4"/>
      <c r="DO34" s="4"/>
      <c r="DP34" s="4"/>
      <c r="DQ34" s="4"/>
      <c r="DR34" s="4"/>
      <c r="DS34" s="4"/>
      <c r="DT34" s="4"/>
      <c r="DU34" s="4"/>
      <c r="DV34" s="4"/>
      <c r="DW34" s="4"/>
      <c r="DX34" s="4"/>
      <c r="DY34" s="4"/>
      <c r="DZ34" s="4"/>
      <c r="EA34" s="4"/>
      <c r="EB34" s="4"/>
      <c r="EC34" s="4"/>
      <c r="ED34" s="4"/>
      <c r="EE34" s="4"/>
      <c r="EF34" s="4"/>
      <c r="EG34" s="4"/>
      <c r="EH34" s="4"/>
      <c r="EI34" s="4"/>
      <c r="EJ34" s="4"/>
      <c r="EK34" s="4"/>
      <c r="EL34" s="4"/>
      <c r="EM34" s="4"/>
      <c r="EN34" s="4"/>
      <c r="EO34" s="4"/>
      <c r="EP34" s="4"/>
      <c r="EQ34" s="4"/>
      <c r="ER34" s="4"/>
      <c r="ES34" s="4"/>
      <c r="ET34" s="4"/>
      <c r="EU34" s="4"/>
      <c r="EV34" s="4"/>
      <c r="EW34" s="4"/>
      <c r="EX34" s="4"/>
      <c r="EY34" s="4"/>
      <c r="EZ34" s="4"/>
      <c r="FA34" s="4"/>
      <c r="FB34" s="4"/>
      <c r="FC34" s="4"/>
      <c r="FD34" s="4"/>
      <c r="FE34" s="4"/>
      <c r="FF34" s="4"/>
      <c r="FG34" s="4"/>
      <c r="FH34" s="4"/>
      <c r="FI34" s="4"/>
      <c r="FJ34" s="4"/>
      <c r="FK34" s="4"/>
      <c r="FL34" s="4"/>
      <c r="FM34" s="4"/>
      <c r="FN34" s="4"/>
      <c r="FO34" s="4"/>
      <c r="FP34" s="4"/>
      <c r="FQ34" s="4"/>
      <c r="FR34" s="4"/>
      <c r="FS34" s="4"/>
      <c r="FT34" s="4"/>
      <c r="FU34" s="4"/>
      <c r="FV34" s="4"/>
      <c r="FW34" s="4"/>
      <c r="FX34" s="4"/>
      <c r="FY34" s="4"/>
      <c r="FZ34" s="4"/>
      <c r="GA34" s="4"/>
      <c r="GB34" s="4"/>
      <c r="GC34" s="4"/>
      <c r="GD34" s="4"/>
      <c r="GE34" s="4"/>
      <c r="GF34" s="4"/>
      <c r="GG34" s="4"/>
    </row>
    <row r="35" spans="1:189" outlineLevel="1">
      <c r="A35" s="110"/>
      <c r="B35" s="110" t="s">
        <v>1080</v>
      </c>
      <c r="C35" s="110">
        <v>2</v>
      </c>
      <c r="D35" s="3" t="s">
        <v>1106</v>
      </c>
      <c r="E35" s="175"/>
      <c r="F35" s="175" t="s">
        <v>1107</v>
      </c>
      <c r="G35" s="175"/>
      <c r="H35" s="175"/>
      <c r="I35" s="175"/>
      <c r="J35" s="175"/>
      <c r="K35" s="175"/>
      <c r="L35" s="175"/>
      <c r="M35" s="176">
        <v>43434</v>
      </c>
      <c r="N35" s="176">
        <v>43501</v>
      </c>
      <c r="O35" s="175"/>
      <c r="P35" s="177">
        <v>141</v>
      </c>
      <c r="Q35" s="177">
        <v>0</v>
      </c>
      <c r="R35" s="178">
        <v>44</v>
      </c>
      <c r="S35" s="178">
        <v>0</v>
      </c>
      <c r="T35" s="176"/>
      <c r="U35" s="176"/>
      <c r="V35" s="179">
        <v>0</v>
      </c>
      <c r="W35" s="180">
        <v>0</v>
      </c>
      <c r="X35" s="181"/>
      <c r="Y35" s="175"/>
      <c r="Z35" s="182"/>
      <c r="AA35" s="94">
        <v>0</v>
      </c>
      <c r="AB35" s="183">
        <v>0</v>
      </c>
      <c r="AC35" s="116"/>
      <c r="AD35" s="4"/>
      <c r="AE35" s="4"/>
      <c r="AF35" s="4"/>
      <c r="AG35" s="4"/>
      <c r="AH35" s="4"/>
      <c r="AI35" s="4"/>
      <c r="AJ35" s="4"/>
      <c r="AK35" s="4" t="str">
        <f>"     " &amp; TEXT(AB35,"#0.00%") &amp; " "</f>
        <v xml:space="preserve">     0.00% </v>
      </c>
      <c r="AL35" s="4"/>
      <c r="AM35" s="4"/>
      <c r="AN35" s="4"/>
      <c r="AO35" s="4"/>
      <c r="AP35" s="4"/>
      <c r="AQ35" s="4"/>
      <c r="AR35" s="4"/>
      <c r="AS35" s="4"/>
      <c r="AT35" s="4"/>
      <c r="AU35" s="4" t="str">
        <f>"   " &amp; "개발" &amp; " " &amp; IF(M35="","",TEXT(M35,"M/D-")) &amp; IF(N35="","",TEXT(N35,"M/D")) &amp; " "</f>
        <v xml:space="preserve">   개발 11/30-2/5 </v>
      </c>
      <c r="AV35" s="4"/>
      <c r="AW35" s="4"/>
      <c r="AX35" s="4"/>
      <c r="AY35" s="4"/>
      <c r="AZ35" s="4"/>
      <c r="BA35" s="4"/>
      <c r="BB35" s="4"/>
      <c r="BC35" s="4"/>
      <c r="BD35" s="4"/>
      <c r="BE35" s="4"/>
      <c r="BF35" s="4"/>
      <c r="BG35" s="4"/>
      <c r="BH35" s="4"/>
      <c r="BI35" s="4"/>
      <c r="BJ35" s="4"/>
      <c r="BK35" s="4"/>
      <c r="BL35" s="4"/>
      <c r="BM35" s="4"/>
      <c r="BN35" s="4"/>
      <c r="BO35" s="4"/>
      <c r="BP35" s="4"/>
      <c r="BQ35" s="4"/>
      <c r="BR35" s="4"/>
      <c r="BS35" s="4"/>
      <c r="BT35" s="4"/>
      <c r="BU35" s="4"/>
      <c r="BV35" s="4"/>
      <c r="BW35" s="4"/>
      <c r="BX35" s="4"/>
      <c r="BY35" s="4"/>
      <c r="BZ35" s="4"/>
      <c r="CA35" s="4"/>
      <c r="CB35" s="4"/>
      <c r="CC35" s="4"/>
      <c r="CD35" s="4"/>
      <c r="CE35" s="4"/>
      <c r="CF35" s="4"/>
      <c r="CG35" s="4"/>
      <c r="CH35" s="4"/>
      <c r="CI35" s="4"/>
      <c r="CJ35" s="4"/>
      <c r="CK35" s="4"/>
      <c r="CL35" s="4"/>
      <c r="CM35" s="4"/>
      <c r="CN35" s="4"/>
      <c r="CO35" s="4"/>
      <c r="CP35" s="4"/>
      <c r="CQ35" s="4"/>
      <c r="CR35" s="4"/>
      <c r="CS35" s="4"/>
      <c r="CT35" s="4"/>
      <c r="CU35" s="4"/>
      <c r="CV35" s="4"/>
      <c r="CW35" s="4"/>
      <c r="CX35" s="4"/>
      <c r="CY35" s="4"/>
      <c r="CZ35" s="4"/>
      <c r="DA35" s="4"/>
      <c r="DB35" s="4"/>
      <c r="DC35" s="4"/>
      <c r="DD35" s="4"/>
      <c r="DE35" s="4"/>
      <c r="DF35" s="4"/>
      <c r="DG35" s="4"/>
      <c r="DH35" s="4"/>
      <c r="DI35" s="4"/>
      <c r="DJ35" s="4"/>
      <c r="DK35" s="4"/>
      <c r="DL35" s="4"/>
      <c r="DM35" s="4"/>
      <c r="DN35" s="4"/>
      <c r="DO35" s="4"/>
      <c r="DP35" s="4"/>
      <c r="DQ35" s="4"/>
      <c r="DR35" s="4"/>
      <c r="DS35" s="4"/>
      <c r="DT35" s="4"/>
      <c r="DU35" s="4"/>
      <c r="DV35" s="4"/>
      <c r="DW35" s="4"/>
      <c r="DX35" s="4"/>
      <c r="DY35" s="4"/>
      <c r="DZ35" s="4"/>
      <c r="EA35" s="4"/>
      <c r="EB35" s="4"/>
      <c r="EC35" s="4"/>
      <c r="ED35" s="4"/>
      <c r="EE35" s="4"/>
      <c r="EF35" s="4"/>
      <c r="EG35" s="4"/>
      <c r="EH35" s="4"/>
      <c r="EI35" s="4"/>
      <c r="EJ35" s="4"/>
      <c r="EK35" s="4"/>
      <c r="EL35" s="4"/>
      <c r="EM35" s="4"/>
      <c r="EN35" s="4"/>
      <c r="EO35" s="4"/>
      <c r="EP35" s="4"/>
      <c r="EQ35" s="4"/>
      <c r="ER35" s="4"/>
      <c r="ES35" s="4"/>
      <c r="ET35" s="4"/>
      <c r="EU35" s="4"/>
      <c r="EV35" s="4"/>
      <c r="EW35" s="4"/>
      <c r="EX35" s="4"/>
      <c r="EY35" s="4"/>
      <c r="EZ35" s="4"/>
      <c r="FA35" s="4"/>
      <c r="FB35" s="4"/>
      <c r="FC35" s="4"/>
      <c r="FD35" s="4"/>
      <c r="FE35" s="4"/>
      <c r="FF35" s="4"/>
      <c r="FG35" s="4"/>
      <c r="FH35" s="4"/>
      <c r="FI35" s="4"/>
      <c r="FJ35" s="4"/>
      <c r="FK35" s="4"/>
      <c r="FL35" s="4"/>
      <c r="FM35" s="4"/>
      <c r="FN35" s="4"/>
      <c r="FO35" s="4"/>
      <c r="FP35" s="4"/>
      <c r="FQ35" s="4"/>
      <c r="FR35" s="4"/>
      <c r="FS35" s="4"/>
      <c r="FT35" s="4"/>
      <c r="FU35" s="4"/>
      <c r="FV35" s="4"/>
      <c r="FW35" s="4"/>
      <c r="FX35" s="4"/>
      <c r="FY35" s="4"/>
      <c r="FZ35" s="4"/>
      <c r="GA35" s="4"/>
      <c r="GB35" s="4"/>
      <c r="GC35" s="4"/>
      <c r="GD35" s="4"/>
      <c r="GE35" s="4"/>
      <c r="GF35" s="4"/>
      <c r="GG35" s="4"/>
    </row>
    <row r="36" spans="1:189" outlineLevel="2">
      <c r="A36" s="110"/>
      <c r="B36" s="110" t="s">
        <v>1080</v>
      </c>
      <c r="C36" s="110">
        <v>3</v>
      </c>
      <c r="D36" s="3" t="s">
        <v>1108</v>
      </c>
      <c r="E36" s="175"/>
      <c r="F36" s="175"/>
      <c r="G36" s="175" t="s">
        <v>1109</v>
      </c>
      <c r="H36" s="175"/>
      <c r="I36" s="175"/>
      <c r="J36" s="175"/>
      <c r="K36" s="175"/>
      <c r="L36" s="175"/>
      <c r="M36" s="176">
        <v>43434</v>
      </c>
      <c r="N36" s="176">
        <v>43493</v>
      </c>
      <c r="O36" s="175"/>
      <c r="P36" s="177">
        <v>127</v>
      </c>
      <c r="Q36" s="177">
        <v>0</v>
      </c>
      <c r="R36" s="178">
        <v>40</v>
      </c>
      <c r="S36" s="178">
        <v>0</v>
      </c>
      <c r="T36" s="176"/>
      <c r="U36" s="176"/>
      <c r="V36" s="179">
        <v>0</v>
      </c>
      <c r="W36" s="180">
        <v>0</v>
      </c>
      <c r="X36" s="181"/>
      <c r="Y36" s="175"/>
      <c r="Z36" s="182"/>
      <c r="AA36" s="94">
        <v>0</v>
      </c>
      <c r="AB36" s="183">
        <v>0</v>
      </c>
      <c r="AC36" s="116"/>
      <c r="AD36" s="4"/>
      <c r="AE36" s="4"/>
      <c r="AF36" s="4"/>
      <c r="AG36" s="4"/>
      <c r="AH36" s="4"/>
      <c r="AI36" s="4"/>
      <c r="AJ36" s="4"/>
      <c r="AK36" s="4" t="str">
        <f>"     " &amp; TEXT(AB36,"#0.00%") &amp; " "</f>
        <v xml:space="preserve">     0.00% </v>
      </c>
      <c r="AL36" s="4"/>
      <c r="AM36" s="4"/>
      <c r="AN36" s="4"/>
      <c r="AO36" s="4"/>
      <c r="AP36" s="4"/>
      <c r="AQ36" s="4"/>
      <c r="AR36" s="4"/>
      <c r="AS36" s="4"/>
      <c r="AT36" s="4" t="str">
        <f>"  " &amp; "프로그램 개발" &amp; " " &amp; IF(M36="","",TEXT(M36,"M/D-")) &amp; IF(N36="","",TEXT(N36,"M/D")) &amp; " "</f>
        <v xml:space="preserve">  프로그램 개발 11/30-1/28 </v>
      </c>
      <c r="AU36" s="4"/>
      <c r="AV36" s="4"/>
      <c r="AW36" s="4"/>
      <c r="AX36" s="4"/>
      <c r="AY36" s="4"/>
      <c r="AZ36" s="4"/>
      <c r="BA36" s="4"/>
      <c r="BB36" s="4"/>
      <c r="BC36" s="4"/>
      <c r="BD36" s="4"/>
      <c r="BE36" s="4"/>
      <c r="BF36" s="4"/>
      <c r="BG36" s="4"/>
      <c r="BH36" s="4"/>
      <c r="BI36" s="4"/>
      <c r="BJ36" s="4"/>
      <c r="BK36" s="4"/>
      <c r="BL36" s="4"/>
      <c r="BM36" s="4"/>
      <c r="BN36" s="4"/>
      <c r="BO36" s="4"/>
      <c r="BP36" s="4"/>
      <c r="BQ36" s="4"/>
      <c r="BR36" s="4"/>
      <c r="BS36" s="4"/>
      <c r="BT36" s="4"/>
      <c r="BU36" s="4"/>
      <c r="BV36" s="4"/>
      <c r="BW36" s="4"/>
      <c r="BX36" s="4"/>
      <c r="BY36" s="4"/>
      <c r="BZ36" s="4"/>
      <c r="CA36" s="4"/>
      <c r="CB36" s="4"/>
      <c r="CC36" s="4"/>
      <c r="CD36" s="4"/>
      <c r="CE36" s="4"/>
      <c r="CF36" s="4"/>
      <c r="CG36" s="4"/>
      <c r="CH36" s="4"/>
      <c r="CI36" s="4"/>
      <c r="CJ36" s="4"/>
      <c r="CK36" s="4"/>
      <c r="CL36" s="4"/>
      <c r="CM36" s="4"/>
      <c r="CN36" s="4"/>
      <c r="CO36" s="4"/>
      <c r="CP36" s="4"/>
      <c r="CQ36" s="4"/>
      <c r="CR36" s="4"/>
      <c r="CS36" s="4"/>
      <c r="CT36" s="4"/>
      <c r="CU36" s="4"/>
      <c r="CV36" s="4"/>
      <c r="CW36" s="4"/>
      <c r="CX36" s="4"/>
      <c r="CY36" s="4"/>
      <c r="CZ36" s="4"/>
      <c r="DA36" s="4"/>
      <c r="DB36" s="4"/>
      <c r="DC36" s="4"/>
      <c r="DD36" s="4"/>
      <c r="DE36" s="4"/>
      <c r="DF36" s="4"/>
      <c r="DG36" s="4"/>
      <c r="DH36" s="4"/>
      <c r="DI36" s="4"/>
      <c r="DJ36" s="4"/>
      <c r="DK36" s="4"/>
      <c r="DL36" s="4"/>
      <c r="DM36" s="4"/>
      <c r="DN36" s="4"/>
      <c r="DO36" s="4"/>
      <c r="DP36" s="4"/>
      <c r="DQ36" s="4"/>
      <c r="DR36" s="4"/>
      <c r="DS36" s="4"/>
      <c r="DT36" s="4"/>
      <c r="DU36" s="4"/>
      <c r="DV36" s="4"/>
      <c r="DW36" s="4"/>
      <c r="DX36" s="4"/>
      <c r="DY36" s="4"/>
      <c r="DZ36" s="4"/>
      <c r="EA36" s="4"/>
      <c r="EB36" s="4"/>
      <c r="EC36" s="4"/>
      <c r="ED36" s="4"/>
      <c r="EE36" s="4"/>
      <c r="EF36" s="4"/>
      <c r="EG36" s="4"/>
      <c r="EH36" s="4"/>
      <c r="EI36" s="4"/>
      <c r="EJ36" s="4"/>
      <c r="EK36" s="4"/>
      <c r="EL36" s="4"/>
      <c r="EM36" s="4"/>
      <c r="EN36" s="4"/>
      <c r="EO36" s="4"/>
      <c r="EP36" s="4"/>
      <c r="EQ36" s="4"/>
      <c r="ER36" s="4"/>
      <c r="ES36" s="4"/>
      <c r="ET36" s="4"/>
      <c r="EU36" s="4"/>
      <c r="EV36" s="4"/>
      <c r="EW36" s="4"/>
      <c r="EX36" s="4"/>
      <c r="EY36" s="4"/>
      <c r="EZ36" s="4"/>
      <c r="FA36" s="4"/>
      <c r="FB36" s="4"/>
      <c r="FC36" s="4"/>
      <c r="FD36" s="4"/>
      <c r="FE36" s="4"/>
      <c r="FF36" s="4"/>
      <c r="FG36" s="4"/>
      <c r="FH36" s="4"/>
      <c r="FI36" s="4"/>
      <c r="FJ36" s="4"/>
      <c r="FK36" s="4"/>
      <c r="FL36" s="4"/>
      <c r="FM36" s="4"/>
      <c r="FN36" s="4"/>
      <c r="FO36" s="4"/>
      <c r="FP36" s="4"/>
      <c r="FQ36" s="4"/>
      <c r="FR36" s="4"/>
      <c r="FS36" s="4"/>
      <c r="FT36" s="4"/>
      <c r="FU36" s="4"/>
      <c r="FV36" s="4"/>
      <c r="FW36" s="4"/>
      <c r="FX36" s="4"/>
      <c r="FY36" s="4"/>
      <c r="FZ36" s="4"/>
      <c r="GA36" s="4"/>
      <c r="GB36" s="4"/>
      <c r="GC36" s="4"/>
      <c r="GD36" s="4"/>
      <c r="GE36" s="4"/>
      <c r="GF36" s="4"/>
      <c r="GG36" s="4"/>
    </row>
    <row r="37" spans="1:189" outlineLevel="3">
      <c r="A37" s="110"/>
      <c r="B37" s="110"/>
      <c r="C37" s="110">
        <v>4</v>
      </c>
      <c r="D37" s="3" t="s">
        <v>1025</v>
      </c>
      <c r="E37" s="175"/>
      <c r="F37" s="175"/>
      <c r="G37" s="175"/>
      <c r="H37" s="175" t="s">
        <v>1026</v>
      </c>
      <c r="I37" s="175"/>
      <c r="J37" s="175"/>
      <c r="K37" s="175"/>
      <c r="L37" s="175"/>
      <c r="M37" s="176">
        <v>43434</v>
      </c>
      <c r="N37" s="176">
        <v>43438</v>
      </c>
      <c r="O37" s="175"/>
      <c r="P37" s="177">
        <v>3</v>
      </c>
      <c r="Q37" s="177">
        <v>0</v>
      </c>
      <c r="R37" s="178">
        <v>3</v>
      </c>
      <c r="S37" s="178">
        <v>0</v>
      </c>
      <c r="T37" s="176"/>
      <c r="U37" s="176"/>
      <c r="V37" s="179"/>
      <c r="W37" s="180">
        <v>0</v>
      </c>
      <c r="X37" s="181">
        <v>1</v>
      </c>
      <c r="Y37" s="175" t="s">
        <v>1022</v>
      </c>
      <c r="Z37" s="182"/>
      <c r="AA37" s="94">
        <v>0</v>
      </c>
      <c r="AB37" s="183">
        <v>0</v>
      </c>
      <c r="AC37" s="116"/>
      <c r="AD37" s="4"/>
      <c r="AE37" s="4"/>
      <c r="AF37" s="4"/>
      <c r="AG37" s="4"/>
      <c r="AH37" s="4"/>
      <c r="AI37" s="4"/>
      <c r="AJ37" s="4"/>
      <c r="AK37" s="4" t="str">
        <f>"     " &amp; TEXT(AB37,"#0.00%") &amp; " " &amp; "단위테스트시나리오작성" &amp; "(김프로)" &amp; " " &amp; IF(M37="","",TEXT(M37,"M/D-")) &amp; IF(N37="","",TEXT(N37,"M/D")) &amp; " "</f>
        <v xml:space="preserve">     0.00% 단위테스트시나리오작성(김프로) 11/30-12/4 </v>
      </c>
      <c r="AL37" s="4"/>
      <c r="AM37" s="4"/>
      <c r="AN37" s="4"/>
      <c r="AO37" s="4"/>
      <c r="AP37" s="4"/>
      <c r="AQ37" s="4"/>
      <c r="AR37" s="4"/>
      <c r="AS37" s="4"/>
      <c r="AT37" s="4"/>
      <c r="AU37" s="4"/>
      <c r="AV37" s="4"/>
      <c r="AW37" s="4"/>
      <c r="AX37" s="4"/>
      <c r="AY37" s="4"/>
      <c r="AZ37" s="4"/>
      <c r="BA37" s="4"/>
      <c r="BB37" s="4"/>
      <c r="BC37" s="4"/>
      <c r="BD37" s="4"/>
      <c r="BE37" s="4"/>
      <c r="BF37" s="4"/>
      <c r="BG37" s="4"/>
      <c r="BH37" s="4"/>
      <c r="BI37" s="4"/>
      <c r="BJ37" s="4"/>
      <c r="BK37" s="4"/>
      <c r="BL37" s="4"/>
      <c r="BM37" s="4"/>
      <c r="BN37" s="4"/>
      <c r="BO37" s="4"/>
      <c r="BP37" s="4"/>
      <c r="BQ37" s="4"/>
      <c r="BR37" s="4"/>
      <c r="BS37" s="4"/>
      <c r="BT37" s="4"/>
      <c r="BU37" s="4"/>
      <c r="BV37" s="4"/>
      <c r="BW37" s="4"/>
      <c r="BX37" s="4"/>
      <c r="BY37" s="4"/>
      <c r="BZ37" s="4"/>
      <c r="CA37" s="4"/>
      <c r="CB37" s="4"/>
      <c r="CC37" s="4"/>
      <c r="CD37" s="4"/>
      <c r="CE37" s="4"/>
      <c r="CF37" s="4"/>
      <c r="CG37" s="4"/>
      <c r="CH37" s="4"/>
      <c r="CI37" s="4"/>
      <c r="CJ37" s="4"/>
      <c r="CK37" s="4"/>
      <c r="CL37" s="4"/>
      <c r="CM37" s="4"/>
      <c r="CN37" s="4"/>
      <c r="CO37" s="4"/>
      <c r="CP37" s="4"/>
      <c r="CQ37" s="4"/>
      <c r="CR37" s="4"/>
      <c r="CS37" s="4"/>
      <c r="CT37" s="4"/>
      <c r="CU37" s="4"/>
      <c r="CV37" s="4"/>
      <c r="CW37" s="4"/>
      <c r="CX37" s="4"/>
      <c r="CY37" s="4"/>
      <c r="CZ37" s="4"/>
      <c r="DA37" s="4"/>
      <c r="DB37" s="4"/>
      <c r="DC37" s="4"/>
      <c r="DD37" s="4"/>
      <c r="DE37" s="4"/>
      <c r="DF37" s="4"/>
      <c r="DG37" s="4"/>
      <c r="DH37" s="4"/>
      <c r="DI37" s="4"/>
      <c r="DJ37" s="4"/>
      <c r="DK37" s="4"/>
      <c r="DL37" s="4"/>
      <c r="DM37" s="4"/>
      <c r="DN37" s="4"/>
      <c r="DO37" s="4"/>
      <c r="DP37" s="4"/>
      <c r="DQ37" s="4"/>
      <c r="DR37" s="4"/>
      <c r="DS37" s="4"/>
      <c r="DT37" s="4"/>
      <c r="DU37" s="4"/>
      <c r="DV37" s="4"/>
      <c r="DW37" s="4"/>
      <c r="DX37" s="4"/>
      <c r="DY37" s="4"/>
      <c r="DZ37" s="4"/>
      <c r="EA37" s="4"/>
      <c r="EB37" s="4"/>
      <c r="EC37" s="4"/>
      <c r="ED37" s="4"/>
      <c r="EE37" s="4"/>
      <c r="EF37" s="4"/>
      <c r="EG37" s="4"/>
      <c r="EH37" s="4"/>
      <c r="EI37" s="4"/>
      <c r="EJ37" s="4"/>
      <c r="EK37" s="4"/>
      <c r="EL37" s="4"/>
      <c r="EM37" s="4"/>
      <c r="EN37" s="4"/>
      <c r="EO37" s="4"/>
      <c r="EP37" s="4"/>
      <c r="EQ37" s="4"/>
      <c r="ER37" s="4"/>
      <c r="ES37" s="4"/>
      <c r="ET37" s="4"/>
      <c r="EU37" s="4"/>
      <c r="EV37" s="4"/>
      <c r="EW37" s="4"/>
      <c r="EX37" s="4"/>
      <c r="EY37" s="4"/>
      <c r="EZ37" s="4"/>
      <c r="FA37" s="4"/>
      <c r="FB37" s="4"/>
      <c r="FC37" s="4"/>
      <c r="FD37" s="4"/>
      <c r="FE37" s="4"/>
      <c r="FF37" s="4"/>
      <c r="FG37" s="4"/>
      <c r="FH37" s="4"/>
      <c r="FI37" s="4"/>
      <c r="FJ37" s="4"/>
      <c r="FK37" s="4"/>
      <c r="FL37" s="4"/>
      <c r="FM37" s="4"/>
      <c r="FN37" s="4"/>
      <c r="FO37" s="4"/>
      <c r="FP37" s="4"/>
      <c r="FQ37" s="4"/>
      <c r="FR37" s="4"/>
      <c r="FS37" s="4"/>
      <c r="FT37" s="4"/>
      <c r="FU37" s="4"/>
      <c r="FV37" s="4"/>
      <c r="FW37" s="4"/>
      <c r="FX37" s="4"/>
      <c r="FY37" s="4"/>
      <c r="FZ37" s="4"/>
      <c r="GA37" s="4"/>
      <c r="GB37" s="4"/>
      <c r="GC37" s="4"/>
      <c r="GD37" s="4"/>
      <c r="GE37" s="4"/>
      <c r="GF37" s="4"/>
      <c r="GG37" s="4"/>
    </row>
    <row r="38" spans="1:189" outlineLevel="3">
      <c r="A38" s="110"/>
      <c r="B38" s="110" t="s">
        <v>1080</v>
      </c>
      <c r="C38" s="110">
        <v>4</v>
      </c>
      <c r="D38" s="3" t="s">
        <v>1110</v>
      </c>
      <c r="E38" s="175"/>
      <c r="F38" s="175"/>
      <c r="G38" s="175"/>
      <c r="H38" s="175" t="s">
        <v>1111</v>
      </c>
      <c r="I38" s="175"/>
      <c r="J38" s="175"/>
      <c r="K38" s="175"/>
      <c r="L38" s="175"/>
      <c r="M38" s="176">
        <v>43434</v>
      </c>
      <c r="N38" s="176">
        <v>43493</v>
      </c>
      <c r="O38" s="175"/>
      <c r="P38" s="177">
        <v>124</v>
      </c>
      <c r="Q38" s="177">
        <v>0</v>
      </c>
      <c r="R38" s="178">
        <v>40</v>
      </c>
      <c r="S38" s="178">
        <v>0</v>
      </c>
      <c r="T38" s="176"/>
      <c r="U38" s="176"/>
      <c r="V38" s="179">
        <v>0</v>
      </c>
      <c r="W38" s="180">
        <v>0</v>
      </c>
      <c r="X38" s="181"/>
      <c r="Y38" s="175"/>
      <c r="Z38" s="182"/>
      <c r="AA38" s="94">
        <v>0</v>
      </c>
      <c r="AB38" s="183">
        <v>0</v>
      </c>
      <c r="AC38" s="116"/>
      <c r="AD38" s="4"/>
      <c r="AE38" s="4"/>
      <c r="AF38" s="4"/>
      <c r="AG38" s="4"/>
      <c r="AH38" s="4"/>
      <c r="AI38" s="4"/>
      <c r="AJ38" s="4"/>
      <c r="AK38" s="4" t="str">
        <f>"     " &amp; TEXT(AB38,"#0.00%") &amp; " "</f>
        <v xml:space="preserve">     0.00% </v>
      </c>
      <c r="AL38" s="4"/>
      <c r="AM38" s="4"/>
      <c r="AN38" s="4"/>
      <c r="AO38" s="4"/>
      <c r="AP38" s="4"/>
      <c r="AQ38" s="4"/>
      <c r="AR38" s="4"/>
      <c r="AS38" s="4"/>
      <c r="AT38" s="4" t="str">
        <f>"  " &amp; "프로그램코딩 및 단위테스트" &amp; " " &amp; IF(M38="","",TEXT(M38,"M/D-")) &amp; IF(N38="","",TEXT(N38,"M/D")) &amp; " "</f>
        <v xml:space="preserve">  프로그램코딩 및 단위테스트 11/30-1/28 </v>
      </c>
      <c r="AU38" s="4"/>
      <c r="AV38" s="4"/>
      <c r="AW38" s="4"/>
      <c r="AX38" s="4"/>
      <c r="AY38" s="4"/>
      <c r="AZ38" s="4"/>
      <c r="BA38" s="4"/>
      <c r="BB38" s="4"/>
      <c r="BC38" s="4"/>
      <c r="BD38" s="4"/>
      <c r="BE38" s="4"/>
      <c r="BF38" s="4"/>
      <c r="BG38" s="4"/>
      <c r="BH38" s="4"/>
      <c r="BI38" s="4"/>
      <c r="BJ38" s="4"/>
      <c r="BK38" s="4"/>
      <c r="BL38" s="4"/>
      <c r="BM38" s="4"/>
      <c r="BN38" s="4"/>
      <c r="BO38" s="4"/>
      <c r="BP38" s="4"/>
      <c r="BQ38" s="4"/>
      <c r="BR38" s="4"/>
      <c r="BS38" s="4"/>
      <c r="BT38" s="4"/>
      <c r="BU38" s="4"/>
      <c r="BV38" s="4"/>
      <c r="BW38" s="4"/>
      <c r="BX38" s="4"/>
      <c r="BY38" s="4"/>
      <c r="BZ38" s="4"/>
      <c r="CA38" s="4"/>
      <c r="CB38" s="4"/>
      <c r="CC38" s="4"/>
      <c r="CD38" s="4"/>
      <c r="CE38" s="4"/>
      <c r="CF38" s="4"/>
      <c r="CG38" s="4"/>
      <c r="CH38" s="4"/>
      <c r="CI38" s="4"/>
      <c r="CJ38" s="4"/>
      <c r="CK38" s="4"/>
      <c r="CL38" s="4"/>
      <c r="CM38" s="4"/>
      <c r="CN38" s="4"/>
      <c r="CO38" s="4"/>
      <c r="CP38" s="4"/>
      <c r="CQ38" s="4"/>
      <c r="CR38" s="4"/>
      <c r="CS38" s="4"/>
      <c r="CT38" s="4"/>
      <c r="CU38" s="4"/>
      <c r="CV38" s="4"/>
      <c r="CW38" s="4"/>
      <c r="CX38" s="4"/>
      <c r="CY38" s="4"/>
      <c r="CZ38" s="4"/>
      <c r="DA38" s="4"/>
      <c r="DB38" s="4"/>
      <c r="DC38" s="4"/>
      <c r="DD38" s="4"/>
      <c r="DE38" s="4"/>
      <c r="DF38" s="4"/>
      <c r="DG38" s="4"/>
      <c r="DH38" s="4"/>
      <c r="DI38" s="4"/>
      <c r="DJ38" s="4"/>
      <c r="DK38" s="4"/>
      <c r="DL38" s="4"/>
      <c r="DM38" s="4"/>
      <c r="DN38" s="4"/>
      <c r="DO38" s="4"/>
      <c r="DP38" s="4"/>
      <c r="DQ38" s="4"/>
      <c r="DR38" s="4"/>
      <c r="DS38" s="4"/>
      <c r="DT38" s="4"/>
      <c r="DU38" s="4"/>
      <c r="DV38" s="4"/>
      <c r="DW38" s="4"/>
      <c r="DX38" s="4"/>
      <c r="DY38" s="4"/>
      <c r="DZ38" s="4"/>
      <c r="EA38" s="4"/>
      <c r="EB38" s="4"/>
      <c r="EC38" s="4"/>
      <c r="ED38" s="4"/>
      <c r="EE38" s="4"/>
      <c r="EF38" s="4"/>
      <c r="EG38" s="4"/>
      <c r="EH38" s="4"/>
      <c r="EI38" s="4"/>
      <c r="EJ38" s="4"/>
      <c r="EK38" s="4"/>
      <c r="EL38" s="4"/>
      <c r="EM38" s="4"/>
      <c r="EN38" s="4"/>
      <c r="EO38" s="4"/>
      <c r="EP38" s="4"/>
      <c r="EQ38" s="4"/>
      <c r="ER38" s="4"/>
      <c r="ES38" s="4"/>
      <c r="ET38" s="4"/>
      <c r="EU38" s="4"/>
      <c r="EV38" s="4"/>
      <c r="EW38" s="4"/>
      <c r="EX38" s="4"/>
      <c r="EY38" s="4"/>
      <c r="EZ38" s="4"/>
      <c r="FA38" s="4"/>
      <c r="FB38" s="4"/>
      <c r="FC38" s="4"/>
      <c r="FD38" s="4"/>
      <c r="FE38" s="4"/>
      <c r="FF38" s="4"/>
      <c r="FG38" s="4"/>
      <c r="FH38" s="4"/>
      <c r="FI38" s="4"/>
      <c r="FJ38" s="4"/>
      <c r="FK38" s="4"/>
      <c r="FL38" s="4"/>
      <c r="FM38" s="4"/>
      <c r="FN38" s="4"/>
      <c r="FO38" s="4"/>
      <c r="FP38" s="4"/>
      <c r="FQ38" s="4"/>
      <c r="FR38" s="4"/>
      <c r="FS38" s="4"/>
      <c r="FT38" s="4"/>
      <c r="FU38" s="4"/>
      <c r="FV38" s="4"/>
      <c r="FW38" s="4"/>
      <c r="FX38" s="4"/>
      <c r="FY38" s="4"/>
      <c r="FZ38" s="4"/>
      <c r="GA38" s="4"/>
      <c r="GB38" s="4"/>
      <c r="GC38" s="4"/>
      <c r="GD38" s="4"/>
      <c r="GE38" s="4"/>
      <c r="GF38" s="4"/>
      <c r="GG38" s="4"/>
    </row>
    <row r="39" spans="1:189" outlineLevel="4">
      <c r="A39" s="110"/>
      <c r="B39" s="110" t="s">
        <v>1080</v>
      </c>
      <c r="C39" s="110">
        <v>5</v>
      </c>
      <c r="D39" s="3" t="s">
        <v>1112</v>
      </c>
      <c r="E39" s="175"/>
      <c r="F39" s="175"/>
      <c r="G39" s="175"/>
      <c r="H39" s="175"/>
      <c r="I39" s="175" t="s">
        <v>1113</v>
      </c>
      <c r="J39" s="175"/>
      <c r="K39" s="175"/>
      <c r="L39" s="175"/>
      <c r="M39" s="176">
        <v>43434</v>
      </c>
      <c r="N39" s="176">
        <v>43452</v>
      </c>
      <c r="O39" s="175"/>
      <c r="P39" s="177">
        <v>14</v>
      </c>
      <c r="Q39" s="177">
        <v>0</v>
      </c>
      <c r="R39" s="178">
        <v>13</v>
      </c>
      <c r="S39" s="178">
        <v>0</v>
      </c>
      <c r="T39" s="176"/>
      <c r="U39" s="176"/>
      <c r="V39" s="179">
        <v>0</v>
      </c>
      <c r="W39" s="180">
        <v>0</v>
      </c>
      <c r="X39" s="181"/>
      <c r="Y39" s="175"/>
      <c r="Z39" s="182"/>
      <c r="AA39" s="94">
        <v>0</v>
      </c>
      <c r="AB39" s="183">
        <v>0</v>
      </c>
      <c r="AC39" s="116"/>
      <c r="AD39" s="4"/>
      <c r="AE39" s="4"/>
      <c r="AF39" s="4"/>
      <c r="AG39" s="4"/>
      <c r="AH39" s="4"/>
      <c r="AI39" s="4"/>
      <c r="AJ39" s="4"/>
      <c r="AK39" s="4" t="str">
        <f>"     " &amp; TEXT(AB39,"#0.00%") &amp; " " &amp; "모듈A" &amp; " " &amp; IF(M39="","",TEXT(M39,"M/D-")) &amp; IF(N39="","",TEXT(N39,"M/D")) &amp; " "</f>
        <v xml:space="preserve">     0.00% 모듈A 11/30-12/18 </v>
      </c>
      <c r="AL39" s="4"/>
      <c r="AM39" s="4"/>
      <c r="AN39" s="4"/>
      <c r="AO39" s="4"/>
      <c r="AP39" s="4"/>
      <c r="AQ39" s="4"/>
      <c r="AR39" s="4"/>
      <c r="AS39" s="4"/>
      <c r="AT39" s="4"/>
      <c r="AU39" s="4"/>
      <c r="AV39" s="4"/>
      <c r="AW39" s="4"/>
      <c r="AX39" s="4"/>
      <c r="AY39" s="4"/>
      <c r="AZ39" s="4"/>
      <c r="BA39" s="4"/>
      <c r="BB39" s="4"/>
      <c r="BC39" s="4"/>
      <c r="BD39" s="4"/>
      <c r="BE39" s="4"/>
      <c r="BF39" s="4"/>
      <c r="BG39" s="4"/>
      <c r="BH39" s="4"/>
      <c r="BI39" s="4"/>
      <c r="BJ39" s="4"/>
      <c r="BK39" s="4"/>
      <c r="BL39" s="4"/>
      <c r="BM39" s="4"/>
      <c r="BN39" s="4"/>
      <c r="BO39" s="4"/>
      <c r="BP39" s="4"/>
      <c r="BQ39" s="4"/>
      <c r="BR39" s="4"/>
      <c r="BS39" s="4"/>
      <c r="BT39" s="4"/>
      <c r="BU39" s="4"/>
      <c r="BV39" s="4"/>
      <c r="BW39" s="4"/>
      <c r="BX39" s="4"/>
      <c r="BY39" s="4"/>
      <c r="BZ39" s="4"/>
      <c r="CA39" s="4"/>
      <c r="CB39" s="4"/>
      <c r="CC39" s="4"/>
      <c r="CD39" s="4"/>
      <c r="CE39" s="4"/>
      <c r="CF39" s="4"/>
      <c r="CG39" s="4"/>
      <c r="CH39" s="4"/>
      <c r="CI39" s="4"/>
      <c r="CJ39" s="4"/>
      <c r="CK39" s="4"/>
      <c r="CL39" s="4"/>
      <c r="CM39" s="4"/>
      <c r="CN39" s="4"/>
      <c r="CO39" s="4"/>
      <c r="CP39" s="4"/>
      <c r="CQ39" s="4"/>
      <c r="CR39" s="4"/>
      <c r="CS39" s="4"/>
      <c r="CT39" s="4"/>
      <c r="CU39" s="4"/>
      <c r="CV39" s="4"/>
      <c r="CW39" s="4"/>
      <c r="CX39" s="4"/>
      <c r="CY39" s="4"/>
      <c r="CZ39" s="4"/>
      <c r="DA39" s="4"/>
      <c r="DB39" s="4"/>
      <c r="DC39" s="4"/>
      <c r="DD39" s="4"/>
      <c r="DE39" s="4"/>
      <c r="DF39" s="4"/>
      <c r="DG39" s="4"/>
      <c r="DH39" s="4"/>
      <c r="DI39" s="4"/>
      <c r="DJ39" s="4"/>
      <c r="DK39" s="4"/>
      <c r="DL39" s="4"/>
      <c r="DM39" s="4"/>
      <c r="DN39" s="4"/>
      <c r="DO39" s="4"/>
      <c r="DP39" s="4"/>
      <c r="DQ39" s="4"/>
      <c r="DR39" s="4"/>
      <c r="DS39" s="4"/>
      <c r="DT39" s="4"/>
      <c r="DU39" s="4"/>
      <c r="DV39" s="4"/>
      <c r="DW39" s="4"/>
      <c r="DX39" s="4"/>
      <c r="DY39" s="4"/>
      <c r="DZ39" s="4"/>
      <c r="EA39" s="4"/>
      <c r="EB39" s="4"/>
      <c r="EC39" s="4"/>
      <c r="ED39" s="4"/>
      <c r="EE39" s="4"/>
      <c r="EF39" s="4"/>
      <c r="EG39" s="4"/>
      <c r="EH39" s="4"/>
      <c r="EI39" s="4"/>
      <c r="EJ39" s="4"/>
      <c r="EK39" s="4"/>
      <c r="EL39" s="4"/>
      <c r="EM39" s="4"/>
      <c r="EN39" s="4"/>
      <c r="EO39" s="4"/>
      <c r="EP39" s="4"/>
      <c r="EQ39" s="4"/>
      <c r="ER39" s="4"/>
      <c r="ES39" s="4"/>
      <c r="ET39" s="4"/>
      <c r="EU39" s="4"/>
      <c r="EV39" s="4"/>
      <c r="EW39" s="4"/>
      <c r="EX39" s="4"/>
      <c r="EY39" s="4"/>
      <c r="EZ39" s="4"/>
      <c r="FA39" s="4"/>
      <c r="FB39" s="4"/>
      <c r="FC39" s="4"/>
      <c r="FD39" s="4"/>
      <c r="FE39" s="4"/>
      <c r="FF39" s="4"/>
      <c r="FG39" s="4"/>
      <c r="FH39" s="4"/>
      <c r="FI39" s="4"/>
      <c r="FJ39" s="4"/>
      <c r="FK39" s="4"/>
      <c r="FL39" s="4"/>
      <c r="FM39" s="4"/>
      <c r="FN39" s="4"/>
      <c r="FO39" s="4"/>
      <c r="FP39" s="4"/>
      <c r="FQ39" s="4"/>
      <c r="FR39" s="4"/>
      <c r="FS39" s="4"/>
      <c r="FT39" s="4"/>
      <c r="FU39" s="4"/>
      <c r="FV39" s="4"/>
      <c r="FW39" s="4"/>
      <c r="FX39" s="4"/>
      <c r="FY39" s="4"/>
      <c r="FZ39" s="4"/>
      <c r="GA39" s="4"/>
      <c r="GB39" s="4"/>
      <c r="GC39" s="4"/>
      <c r="GD39" s="4"/>
      <c r="GE39" s="4"/>
      <c r="GF39" s="4"/>
      <c r="GG39" s="4"/>
    </row>
    <row r="40" spans="1:189" outlineLevel="5">
      <c r="A40" s="110"/>
      <c r="B40" s="110"/>
      <c r="C40" s="110">
        <v>6</v>
      </c>
      <c r="D40" s="3" t="s">
        <v>1027</v>
      </c>
      <c r="E40" s="175"/>
      <c r="F40" s="175"/>
      <c r="G40" s="175"/>
      <c r="H40" s="175"/>
      <c r="I40" s="175"/>
      <c r="J40" s="175" t="s">
        <v>1028</v>
      </c>
      <c r="K40" s="175"/>
      <c r="L40" s="175"/>
      <c r="M40" s="176">
        <v>43434</v>
      </c>
      <c r="N40" s="176">
        <v>43438</v>
      </c>
      <c r="O40" s="175"/>
      <c r="P40" s="177">
        <v>3</v>
      </c>
      <c r="Q40" s="177">
        <v>0</v>
      </c>
      <c r="R40" s="178">
        <v>3</v>
      </c>
      <c r="S40" s="178">
        <v>0</v>
      </c>
      <c r="T40" s="176"/>
      <c r="U40" s="176"/>
      <c r="V40" s="179"/>
      <c r="W40" s="180">
        <v>0</v>
      </c>
      <c r="X40" s="181">
        <v>1</v>
      </c>
      <c r="Y40" s="175" t="s">
        <v>1029</v>
      </c>
      <c r="Z40" s="182"/>
      <c r="AA40" s="94">
        <v>0</v>
      </c>
      <c r="AB40" s="183">
        <v>0</v>
      </c>
      <c r="AC40" s="116"/>
      <c r="AD40" s="4"/>
      <c r="AE40" s="4"/>
      <c r="AF40" s="4"/>
      <c r="AG40" s="4"/>
      <c r="AH40" s="4"/>
      <c r="AI40" s="4"/>
      <c r="AJ40" s="4"/>
      <c r="AK40" s="4" t="str">
        <f>"     " &amp; TEXT(AB40,"#0.00%") &amp; " " &amp; "프로그램A" &amp; "(이개발)" &amp; " " &amp; IF(M40="","",TEXT(M40,"M/D-")) &amp; IF(N40="","",TEXT(N40,"M/D")) &amp; " "</f>
        <v xml:space="preserve">     0.00% 프로그램A(이개발) 11/30-12/4 </v>
      </c>
      <c r="AL40" s="4"/>
      <c r="AM40" s="4"/>
      <c r="AN40" s="4"/>
      <c r="AO40" s="4"/>
      <c r="AP40" s="4"/>
      <c r="AQ40" s="4"/>
      <c r="AR40" s="4"/>
      <c r="AS40" s="4"/>
      <c r="AT40" s="4"/>
      <c r="AU40" s="4"/>
      <c r="AV40" s="4"/>
      <c r="AW40" s="4"/>
      <c r="AX40" s="4"/>
      <c r="AY40" s="4"/>
      <c r="AZ40" s="4"/>
      <c r="BA40" s="4"/>
      <c r="BB40" s="4"/>
      <c r="BC40" s="4"/>
      <c r="BD40" s="4"/>
      <c r="BE40" s="4"/>
      <c r="BF40" s="4"/>
      <c r="BG40" s="4"/>
      <c r="BH40" s="4"/>
      <c r="BI40" s="4"/>
      <c r="BJ40" s="4"/>
      <c r="BK40" s="4"/>
      <c r="BL40" s="4"/>
      <c r="BM40" s="4"/>
      <c r="BN40" s="4"/>
      <c r="BO40" s="4"/>
      <c r="BP40" s="4"/>
      <c r="BQ40" s="4"/>
      <c r="BR40" s="4"/>
      <c r="BS40" s="4"/>
      <c r="BT40" s="4"/>
      <c r="BU40" s="4"/>
      <c r="BV40" s="4"/>
      <c r="BW40" s="4"/>
      <c r="BX40" s="4"/>
      <c r="BY40" s="4"/>
      <c r="BZ40" s="4"/>
      <c r="CA40" s="4"/>
      <c r="CB40" s="4"/>
      <c r="CC40" s="4"/>
      <c r="CD40" s="4"/>
      <c r="CE40" s="4"/>
      <c r="CF40" s="4"/>
      <c r="CG40" s="4"/>
      <c r="CH40" s="4"/>
      <c r="CI40" s="4"/>
      <c r="CJ40" s="4"/>
      <c r="CK40" s="4"/>
      <c r="CL40" s="4"/>
      <c r="CM40" s="4"/>
      <c r="CN40" s="4"/>
      <c r="CO40" s="4"/>
      <c r="CP40" s="4"/>
      <c r="CQ40" s="4"/>
      <c r="CR40" s="4"/>
      <c r="CS40" s="4"/>
      <c r="CT40" s="4"/>
      <c r="CU40" s="4"/>
      <c r="CV40" s="4"/>
      <c r="CW40" s="4"/>
      <c r="CX40" s="4"/>
      <c r="CY40" s="4"/>
      <c r="CZ40" s="4"/>
      <c r="DA40" s="4"/>
      <c r="DB40" s="4"/>
      <c r="DC40" s="4"/>
      <c r="DD40" s="4"/>
      <c r="DE40" s="4"/>
      <c r="DF40" s="4"/>
      <c r="DG40" s="4"/>
      <c r="DH40" s="4"/>
      <c r="DI40" s="4"/>
      <c r="DJ40" s="4"/>
      <c r="DK40" s="4"/>
      <c r="DL40" s="4"/>
      <c r="DM40" s="4"/>
      <c r="DN40" s="4"/>
      <c r="DO40" s="4"/>
      <c r="DP40" s="4"/>
      <c r="DQ40" s="4"/>
      <c r="DR40" s="4"/>
      <c r="DS40" s="4"/>
      <c r="DT40" s="4"/>
      <c r="DU40" s="4"/>
      <c r="DV40" s="4"/>
      <c r="DW40" s="4"/>
      <c r="DX40" s="4"/>
      <c r="DY40" s="4"/>
      <c r="DZ40" s="4"/>
      <c r="EA40" s="4"/>
      <c r="EB40" s="4"/>
      <c r="EC40" s="4"/>
      <c r="ED40" s="4"/>
      <c r="EE40" s="4"/>
      <c r="EF40" s="4"/>
      <c r="EG40" s="4"/>
      <c r="EH40" s="4"/>
      <c r="EI40" s="4"/>
      <c r="EJ40" s="4"/>
      <c r="EK40" s="4"/>
      <c r="EL40" s="4"/>
      <c r="EM40" s="4"/>
      <c r="EN40" s="4"/>
      <c r="EO40" s="4"/>
      <c r="EP40" s="4"/>
      <c r="EQ40" s="4"/>
      <c r="ER40" s="4"/>
      <c r="ES40" s="4"/>
      <c r="ET40" s="4"/>
      <c r="EU40" s="4"/>
      <c r="EV40" s="4"/>
      <c r="EW40" s="4"/>
      <c r="EX40" s="4"/>
      <c r="EY40" s="4"/>
      <c r="EZ40" s="4"/>
      <c r="FA40" s="4"/>
      <c r="FB40" s="4"/>
      <c r="FC40" s="4"/>
      <c r="FD40" s="4"/>
      <c r="FE40" s="4"/>
      <c r="FF40" s="4"/>
      <c r="FG40" s="4"/>
      <c r="FH40" s="4"/>
      <c r="FI40" s="4"/>
      <c r="FJ40" s="4"/>
      <c r="FK40" s="4"/>
      <c r="FL40" s="4"/>
      <c r="FM40" s="4"/>
      <c r="FN40" s="4"/>
      <c r="FO40" s="4"/>
      <c r="FP40" s="4"/>
      <c r="FQ40" s="4"/>
      <c r="FR40" s="4"/>
      <c r="FS40" s="4"/>
      <c r="FT40" s="4"/>
      <c r="FU40" s="4"/>
      <c r="FV40" s="4"/>
      <c r="FW40" s="4"/>
      <c r="FX40" s="4"/>
      <c r="FY40" s="4"/>
      <c r="FZ40" s="4"/>
      <c r="GA40" s="4"/>
      <c r="GB40" s="4"/>
      <c r="GC40" s="4"/>
      <c r="GD40" s="4"/>
      <c r="GE40" s="4"/>
      <c r="GF40" s="4"/>
      <c r="GG40" s="4"/>
    </row>
    <row r="41" spans="1:189" outlineLevel="5">
      <c r="A41" s="110"/>
      <c r="B41" s="110"/>
      <c r="C41" s="110">
        <v>6</v>
      </c>
      <c r="D41" s="3" t="s">
        <v>1030</v>
      </c>
      <c r="E41" s="175"/>
      <c r="F41" s="175"/>
      <c r="G41" s="175"/>
      <c r="H41" s="175"/>
      <c r="I41" s="175"/>
      <c r="J41" s="175" t="s">
        <v>1031</v>
      </c>
      <c r="K41" s="175"/>
      <c r="L41" s="175"/>
      <c r="M41" s="176">
        <v>43441</v>
      </c>
      <c r="N41" s="176">
        <v>43445</v>
      </c>
      <c r="O41" s="175"/>
      <c r="P41" s="177">
        <v>3</v>
      </c>
      <c r="Q41" s="177">
        <v>0</v>
      </c>
      <c r="R41" s="178">
        <v>3</v>
      </c>
      <c r="S41" s="178">
        <v>0</v>
      </c>
      <c r="T41" s="176"/>
      <c r="U41" s="176"/>
      <c r="V41" s="179"/>
      <c r="W41" s="180">
        <v>0</v>
      </c>
      <c r="X41" s="181">
        <v>1</v>
      </c>
      <c r="Y41" s="175" t="s">
        <v>1032</v>
      </c>
      <c r="Z41" s="182"/>
      <c r="AA41" s="94">
        <v>0</v>
      </c>
      <c r="AB41" s="183">
        <v>0</v>
      </c>
      <c r="AC41" s="116"/>
      <c r="AD41" s="4"/>
      <c r="AE41" s="4"/>
      <c r="AF41" s="4"/>
      <c r="AG41" s="4"/>
      <c r="AH41" s="4"/>
      <c r="AI41" s="4"/>
      <c r="AJ41" s="4"/>
      <c r="AK41" s="4"/>
      <c r="AL41" s="4" t="str">
        <f>"     " &amp; TEXT(AB41,"#0.00%") &amp; " " &amp; "프로그램B" &amp; "(박개발)" &amp; " " &amp; IF(M41="","",TEXT(M41,"M/D-")) &amp; IF(N41="","",TEXT(N41,"M/D")) &amp; " "</f>
        <v xml:space="preserve">     0.00% 프로그램B(박개발) 12/7-12/11 </v>
      </c>
      <c r="AM41" s="4"/>
      <c r="AN41" s="4"/>
      <c r="AO41" s="4"/>
      <c r="AP41" s="4"/>
      <c r="AQ41" s="4"/>
      <c r="AR41" s="4"/>
      <c r="AS41" s="4"/>
      <c r="AT41" s="4"/>
      <c r="AU41" s="4"/>
      <c r="AV41" s="4"/>
      <c r="AW41" s="4"/>
      <c r="AX41" s="4"/>
      <c r="AY41" s="4"/>
      <c r="AZ41" s="4"/>
      <c r="BA41" s="4"/>
      <c r="BB41" s="4"/>
      <c r="BC41" s="4"/>
      <c r="BD41" s="4"/>
      <c r="BE41" s="4"/>
      <c r="BF41" s="4"/>
      <c r="BG41" s="4"/>
      <c r="BH41" s="4"/>
      <c r="BI41" s="4"/>
      <c r="BJ41" s="4"/>
      <c r="BK41" s="4"/>
      <c r="BL41" s="4"/>
      <c r="BM41" s="4"/>
      <c r="BN41" s="4"/>
      <c r="BO41" s="4"/>
      <c r="BP41" s="4"/>
      <c r="BQ41" s="4"/>
      <c r="BR41" s="4"/>
      <c r="BS41" s="4"/>
      <c r="BT41" s="4"/>
      <c r="BU41" s="4"/>
      <c r="BV41" s="4"/>
      <c r="BW41" s="4"/>
      <c r="BX41" s="4"/>
      <c r="BY41" s="4"/>
      <c r="BZ41" s="4"/>
      <c r="CA41" s="4"/>
      <c r="CB41" s="4"/>
      <c r="CC41" s="4"/>
      <c r="CD41" s="4"/>
      <c r="CE41" s="4"/>
      <c r="CF41" s="4"/>
      <c r="CG41" s="4"/>
      <c r="CH41" s="4"/>
      <c r="CI41" s="4"/>
      <c r="CJ41" s="4"/>
      <c r="CK41" s="4"/>
      <c r="CL41" s="4"/>
      <c r="CM41" s="4"/>
      <c r="CN41" s="4"/>
      <c r="CO41" s="4"/>
      <c r="CP41" s="4"/>
      <c r="CQ41" s="4"/>
      <c r="CR41" s="4"/>
      <c r="CS41" s="4"/>
      <c r="CT41" s="4"/>
      <c r="CU41" s="4"/>
      <c r="CV41" s="4"/>
      <c r="CW41" s="4"/>
      <c r="CX41" s="4"/>
      <c r="CY41" s="4"/>
      <c r="CZ41" s="4"/>
      <c r="DA41" s="4"/>
      <c r="DB41" s="4"/>
      <c r="DC41" s="4"/>
      <c r="DD41" s="4"/>
      <c r="DE41" s="4"/>
      <c r="DF41" s="4"/>
      <c r="DG41" s="4"/>
      <c r="DH41" s="4"/>
      <c r="DI41" s="4"/>
      <c r="DJ41" s="4"/>
      <c r="DK41" s="4"/>
      <c r="DL41" s="4"/>
      <c r="DM41" s="4"/>
      <c r="DN41" s="4"/>
      <c r="DO41" s="4"/>
      <c r="DP41" s="4"/>
      <c r="DQ41" s="4"/>
      <c r="DR41" s="4"/>
      <c r="DS41" s="4"/>
      <c r="DT41" s="4"/>
      <c r="DU41" s="4"/>
      <c r="DV41" s="4"/>
      <c r="DW41" s="4"/>
      <c r="DX41" s="4"/>
      <c r="DY41" s="4"/>
      <c r="DZ41" s="4"/>
      <c r="EA41" s="4"/>
      <c r="EB41" s="4"/>
      <c r="EC41" s="4"/>
      <c r="ED41" s="4"/>
      <c r="EE41" s="4"/>
      <c r="EF41" s="4"/>
      <c r="EG41" s="4"/>
      <c r="EH41" s="4"/>
      <c r="EI41" s="4"/>
      <c r="EJ41" s="4"/>
      <c r="EK41" s="4"/>
      <c r="EL41" s="4"/>
      <c r="EM41" s="4"/>
      <c r="EN41" s="4"/>
      <c r="EO41" s="4"/>
      <c r="EP41" s="4"/>
      <c r="EQ41" s="4"/>
      <c r="ER41" s="4"/>
      <c r="ES41" s="4"/>
      <c r="ET41" s="4"/>
      <c r="EU41" s="4"/>
      <c r="EV41" s="4"/>
      <c r="EW41" s="4"/>
      <c r="EX41" s="4"/>
      <c r="EY41" s="4"/>
      <c r="EZ41" s="4"/>
      <c r="FA41" s="4"/>
      <c r="FB41" s="4"/>
      <c r="FC41" s="4"/>
      <c r="FD41" s="4"/>
      <c r="FE41" s="4"/>
      <c r="FF41" s="4"/>
      <c r="FG41" s="4"/>
      <c r="FH41" s="4"/>
      <c r="FI41" s="4"/>
      <c r="FJ41" s="4"/>
      <c r="FK41" s="4"/>
      <c r="FL41" s="4"/>
      <c r="FM41" s="4"/>
      <c r="FN41" s="4"/>
      <c r="FO41" s="4"/>
      <c r="FP41" s="4"/>
      <c r="FQ41" s="4"/>
      <c r="FR41" s="4"/>
      <c r="FS41" s="4"/>
      <c r="FT41" s="4"/>
      <c r="FU41" s="4"/>
      <c r="FV41" s="4"/>
      <c r="FW41" s="4"/>
      <c r="FX41" s="4"/>
      <c r="FY41" s="4"/>
      <c r="FZ41" s="4"/>
      <c r="GA41" s="4"/>
      <c r="GB41" s="4"/>
      <c r="GC41" s="4"/>
      <c r="GD41" s="4"/>
      <c r="GE41" s="4"/>
      <c r="GF41" s="4"/>
      <c r="GG41" s="4"/>
    </row>
    <row r="42" spans="1:189" outlineLevel="5">
      <c r="A42" s="110"/>
      <c r="B42" s="110"/>
      <c r="C42" s="110">
        <v>6</v>
      </c>
      <c r="D42" s="3" t="s">
        <v>1033</v>
      </c>
      <c r="E42" s="175"/>
      <c r="F42" s="175"/>
      <c r="G42" s="175"/>
      <c r="H42" s="175"/>
      <c r="I42" s="175"/>
      <c r="J42" s="175" t="s">
        <v>1034</v>
      </c>
      <c r="K42" s="175"/>
      <c r="L42" s="175"/>
      <c r="M42" s="176">
        <v>43441</v>
      </c>
      <c r="N42" s="176">
        <v>43452</v>
      </c>
      <c r="O42" s="175"/>
      <c r="P42" s="177">
        <v>8</v>
      </c>
      <c r="Q42" s="177">
        <v>0</v>
      </c>
      <c r="R42" s="178">
        <v>8</v>
      </c>
      <c r="S42" s="178">
        <v>0</v>
      </c>
      <c r="T42" s="176"/>
      <c r="U42" s="176"/>
      <c r="V42" s="179"/>
      <c r="W42" s="180">
        <v>0</v>
      </c>
      <c r="X42" s="181">
        <v>1</v>
      </c>
      <c r="Y42" s="175" t="s">
        <v>1032</v>
      </c>
      <c r="Z42" s="182"/>
      <c r="AA42" s="94">
        <v>0</v>
      </c>
      <c r="AB42" s="183">
        <v>0</v>
      </c>
      <c r="AC42" s="116"/>
      <c r="AD42" s="4"/>
      <c r="AE42" s="4"/>
      <c r="AF42" s="4"/>
      <c r="AG42" s="4"/>
      <c r="AH42" s="4"/>
      <c r="AI42" s="4"/>
      <c r="AJ42" s="4"/>
      <c r="AK42" s="4"/>
      <c r="AL42" s="4" t="str">
        <f>"     " &amp; TEXT(AB42,"#0.00%") &amp; " " &amp; "프로그램C" &amp; "(박개발)" &amp; " " &amp; IF(M42="","",TEXT(M42,"M/D-")) &amp; IF(N42="","",TEXT(N42,"M/D")) &amp; " "</f>
        <v xml:space="preserve">     0.00% 프로그램C(박개발) 12/7-12/18 </v>
      </c>
      <c r="AM42" s="4"/>
      <c r="AN42" s="4"/>
      <c r="AO42" s="4"/>
      <c r="AP42" s="4"/>
      <c r="AQ42" s="4"/>
      <c r="AR42" s="4"/>
      <c r="AS42" s="4"/>
      <c r="AT42" s="4"/>
      <c r="AU42" s="4"/>
      <c r="AV42" s="4"/>
      <c r="AW42" s="4"/>
      <c r="AX42" s="4"/>
      <c r="AY42" s="4"/>
      <c r="AZ42" s="4"/>
      <c r="BA42" s="4"/>
      <c r="BB42" s="4"/>
      <c r="BC42" s="4"/>
      <c r="BD42" s="4"/>
      <c r="BE42" s="4"/>
      <c r="BF42" s="4"/>
      <c r="BG42" s="4"/>
      <c r="BH42" s="4"/>
      <c r="BI42" s="4"/>
      <c r="BJ42" s="4"/>
      <c r="BK42" s="4"/>
      <c r="BL42" s="4"/>
      <c r="BM42" s="4"/>
      <c r="BN42" s="4"/>
      <c r="BO42" s="4"/>
      <c r="BP42" s="4"/>
      <c r="BQ42" s="4"/>
      <c r="BR42" s="4"/>
      <c r="BS42" s="4"/>
      <c r="BT42" s="4"/>
      <c r="BU42" s="4"/>
      <c r="BV42" s="4"/>
      <c r="BW42" s="4"/>
      <c r="BX42" s="4"/>
      <c r="BY42" s="4"/>
      <c r="BZ42" s="4"/>
      <c r="CA42" s="4"/>
      <c r="CB42" s="4"/>
      <c r="CC42" s="4"/>
      <c r="CD42" s="4"/>
      <c r="CE42" s="4"/>
      <c r="CF42" s="4"/>
      <c r="CG42" s="4"/>
      <c r="CH42" s="4"/>
      <c r="CI42" s="4"/>
      <c r="CJ42" s="4"/>
      <c r="CK42" s="4"/>
      <c r="CL42" s="4"/>
      <c r="CM42" s="4"/>
      <c r="CN42" s="4"/>
      <c r="CO42" s="4"/>
      <c r="CP42" s="4"/>
      <c r="CQ42" s="4"/>
      <c r="CR42" s="4"/>
      <c r="CS42" s="4"/>
      <c r="CT42" s="4"/>
      <c r="CU42" s="4"/>
      <c r="CV42" s="4"/>
      <c r="CW42" s="4"/>
      <c r="CX42" s="4"/>
      <c r="CY42" s="4"/>
      <c r="CZ42" s="4"/>
      <c r="DA42" s="4"/>
      <c r="DB42" s="4"/>
      <c r="DC42" s="4"/>
      <c r="DD42" s="4"/>
      <c r="DE42" s="4"/>
      <c r="DF42" s="4"/>
      <c r="DG42" s="4"/>
      <c r="DH42" s="4"/>
      <c r="DI42" s="4"/>
      <c r="DJ42" s="4"/>
      <c r="DK42" s="4"/>
      <c r="DL42" s="4"/>
      <c r="DM42" s="4"/>
      <c r="DN42" s="4"/>
      <c r="DO42" s="4"/>
      <c r="DP42" s="4"/>
      <c r="DQ42" s="4"/>
      <c r="DR42" s="4"/>
      <c r="DS42" s="4"/>
      <c r="DT42" s="4"/>
      <c r="DU42" s="4"/>
      <c r="DV42" s="4"/>
      <c r="DW42" s="4"/>
      <c r="DX42" s="4"/>
      <c r="DY42" s="4"/>
      <c r="DZ42" s="4"/>
      <c r="EA42" s="4"/>
      <c r="EB42" s="4"/>
      <c r="EC42" s="4"/>
      <c r="ED42" s="4"/>
      <c r="EE42" s="4"/>
      <c r="EF42" s="4"/>
      <c r="EG42" s="4"/>
      <c r="EH42" s="4"/>
      <c r="EI42" s="4"/>
      <c r="EJ42" s="4"/>
      <c r="EK42" s="4"/>
      <c r="EL42" s="4"/>
      <c r="EM42" s="4"/>
      <c r="EN42" s="4"/>
      <c r="EO42" s="4"/>
      <c r="EP42" s="4"/>
      <c r="EQ42" s="4"/>
      <c r="ER42" s="4"/>
      <c r="ES42" s="4"/>
      <c r="ET42" s="4"/>
      <c r="EU42" s="4"/>
      <c r="EV42" s="4"/>
      <c r="EW42" s="4"/>
      <c r="EX42" s="4"/>
      <c r="EY42" s="4"/>
      <c r="EZ42" s="4"/>
      <c r="FA42" s="4"/>
      <c r="FB42" s="4"/>
      <c r="FC42" s="4"/>
      <c r="FD42" s="4"/>
      <c r="FE42" s="4"/>
      <c r="FF42" s="4"/>
      <c r="FG42" s="4"/>
      <c r="FH42" s="4"/>
      <c r="FI42" s="4"/>
      <c r="FJ42" s="4"/>
      <c r="FK42" s="4"/>
      <c r="FL42" s="4"/>
      <c r="FM42" s="4"/>
      <c r="FN42" s="4"/>
      <c r="FO42" s="4"/>
      <c r="FP42" s="4"/>
      <c r="FQ42" s="4"/>
      <c r="FR42" s="4"/>
      <c r="FS42" s="4"/>
      <c r="FT42" s="4"/>
      <c r="FU42" s="4"/>
      <c r="FV42" s="4"/>
      <c r="FW42" s="4"/>
      <c r="FX42" s="4"/>
      <c r="FY42" s="4"/>
      <c r="FZ42" s="4"/>
      <c r="GA42" s="4"/>
      <c r="GB42" s="4"/>
      <c r="GC42" s="4"/>
      <c r="GD42" s="4"/>
      <c r="GE42" s="4"/>
      <c r="GF42" s="4"/>
      <c r="GG42" s="4"/>
    </row>
    <row r="43" spans="1:189" outlineLevel="4">
      <c r="A43" s="110"/>
      <c r="B43" s="110"/>
      <c r="C43" s="110">
        <v>5</v>
      </c>
      <c r="D43" s="3" t="s">
        <v>1035</v>
      </c>
      <c r="E43" s="175"/>
      <c r="F43" s="175"/>
      <c r="G43" s="175"/>
      <c r="H43" s="175"/>
      <c r="I43" s="175" t="s">
        <v>1036</v>
      </c>
      <c r="J43" s="175"/>
      <c r="K43" s="175"/>
      <c r="L43" s="175"/>
      <c r="M43" s="176">
        <v>43434</v>
      </c>
      <c r="N43" s="176">
        <v>43493</v>
      </c>
      <c r="O43" s="175"/>
      <c r="P43" s="177">
        <v>40</v>
      </c>
      <c r="Q43" s="177">
        <v>0</v>
      </c>
      <c r="R43" s="178">
        <v>40</v>
      </c>
      <c r="S43" s="178">
        <v>0</v>
      </c>
      <c r="T43" s="176"/>
      <c r="U43" s="176"/>
      <c r="V43" s="179"/>
      <c r="W43" s="180">
        <v>0</v>
      </c>
      <c r="X43" s="181">
        <v>1</v>
      </c>
      <c r="Y43" s="175" t="s">
        <v>1114</v>
      </c>
      <c r="Z43" s="182"/>
      <c r="AA43" s="94">
        <v>0</v>
      </c>
      <c r="AB43" s="183">
        <v>0</v>
      </c>
      <c r="AC43" s="116"/>
      <c r="AD43" s="4"/>
      <c r="AE43" s="4"/>
      <c r="AF43" s="4"/>
      <c r="AG43" s="4"/>
      <c r="AH43" s="4"/>
      <c r="AI43" s="4"/>
      <c r="AJ43" s="4"/>
      <c r="AK43" s="4" t="str">
        <f>"     " &amp; TEXT(AB43,"#0.00%") &amp; " "</f>
        <v xml:space="preserve">     0.00% </v>
      </c>
      <c r="AL43" s="4"/>
      <c r="AM43" s="4"/>
      <c r="AN43" s="4"/>
      <c r="AO43" s="4"/>
      <c r="AP43" s="4"/>
      <c r="AQ43" s="4"/>
      <c r="AR43" s="4"/>
      <c r="AS43" s="4"/>
      <c r="AT43" s="4" t="str">
        <f>"  " &amp; "모듈B" &amp; "(이개발,박개발)" &amp; " " &amp; IF(M43="","",TEXT(M43,"M/D-")) &amp; IF(N43="","",TEXT(N43,"M/D")) &amp; " "</f>
        <v xml:space="preserve">  모듈B(이개발,박개발) 11/30-1/28 </v>
      </c>
      <c r="AU43" s="4"/>
      <c r="AV43" s="4"/>
      <c r="AW43" s="4"/>
      <c r="AX43" s="4"/>
      <c r="AY43" s="4"/>
      <c r="AZ43" s="4"/>
      <c r="BA43" s="4"/>
      <c r="BB43" s="4"/>
      <c r="BC43" s="4"/>
      <c r="BD43" s="4"/>
      <c r="BE43" s="4"/>
      <c r="BF43" s="4"/>
      <c r="BG43" s="4"/>
      <c r="BH43" s="4"/>
      <c r="BI43" s="4"/>
      <c r="BJ43" s="4"/>
      <c r="BK43" s="4"/>
      <c r="BL43" s="4"/>
      <c r="BM43" s="4"/>
      <c r="BN43" s="4"/>
      <c r="BO43" s="4"/>
      <c r="BP43" s="4"/>
      <c r="BQ43" s="4"/>
      <c r="BR43" s="4"/>
      <c r="BS43" s="4"/>
      <c r="BT43" s="4"/>
      <c r="BU43" s="4"/>
      <c r="BV43" s="4"/>
      <c r="BW43" s="4"/>
      <c r="BX43" s="4"/>
      <c r="BY43" s="4"/>
      <c r="BZ43" s="4"/>
      <c r="CA43" s="4"/>
      <c r="CB43" s="4"/>
      <c r="CC43" s="4"/>
      <c r="CD43" s="4"/>
      <c r="CE43" s="4"/>
      <c r="CF43" s="4"/>
      <c r="CG43" s="4"/>
      <c r="CH43" s="4"/>
      <c r="CI43" s="4"/>
      <c r="CJ43" s="4"/>
      <c r="CK43" s="4"/>
      <c r="CL43" s="4"/>
      <c r="CM43" s="4"/>
      <c r="CN43" s="4"/>
      <c r="CO43" s="4"/>
      <c r="CP43" s="4"/>
      <c r="CQ43" s="4"/>
      <c r="CR43" s="4"/>
      <c r="CS43" s="4"/>
      <c r="CT43" s="4"/>
      <c r="CU43" s="4"/>
      <c r="CV43" s="4"/>
      <c r="CW43" s="4"/>
      <c r="CX43" s="4"/>
      <c r="CY43" s="4"/>
      <c r="CZ43" s="4"/>
      <c r="DA43" s="4"/>
      <c r="DB43" s="4"/>
      <c r="DC43" s="4"/>
      <c r="DD43" s="4"/>
      <c r="DE43" s="4"/>
      <c r="DF43" s="4"/>
      <c r="DG43" s="4"/>
      <c r="DH43" s="4"/>
      <c r="DI43" s="4"/>
      <c r="DJ43" s="4"/>
      <c r="DK43" s="4"/>
      <c r="DL43" s="4"/>
      <c r="DM43" s="4"/>
      <c r="DN43" s="4"/>
      <c r="DO43" s="4"/>
      <c r="DP43" s="4"/>
      <c r="DQ43" s="4"/>
      <c r="DR43" s="4"/>
      <c r="DS43" s="4"/>
      <c r="DT43" s="4"/>
      <c r="DU43" s="4"/>
      <c r="DV43" s="4"/>
      <c r="DW43" s="4"/>
      <c r="DX43" s="4"/>
      <c r="DY43" s="4"/>
      <c r="DZ43" s="4"/>
      <c r="EA43" s="4"/>
      <c r="EB43" s="4"/>
      <c r="EC43" s="4"/>
      <c r="ED43" s="4"/>
      <c r="EE43" s="4"/>
      <c r="EF43" s="4"/>
      <c r="EG43" s="4"/>
      <c r="EH43" s="4"/>
      <c r="EI43" s="4"/>
      <c r="EJ43" s="4"/>
      <c r="EK43" s="4"/>
      <c r="EL43" s="4"/>
      <c r="EM43" s="4"/>
      <c r="EN43" s="4"/>
      <c r="EO43" s="4"/>
      <c r="EP43" s="4"/>
      <c r="EQ43" s="4"/>
      <c r="ER43" s="4"/>
      <c r="ES43" s="4"/>
      <c r="ET43" s="4"/>
      <c r="EU43" s="4"/>
      <c r="EV43" s="4"/>
      <c r="EW43" s="4"/>
      <c r="EX43" s="4"/>
      <c r="EY43" s="4"/>
      <c r="EZ43" s="4"/>
      <c r="FA43" s="4"/>
      <c r="FB43" s="4"/>
      <c r="FC43" s="4"/>
      <c r="FD43" s="4"/>
      <c r="FE43" s="4"/>
      <c r="FF43" s="4"/>
      <c r="FG43" s="4"/>
      <c r="FH43" s="4"/>
      <c r="FI43" s="4"/>
      <c r="FJ43" s="4"/>
      <c r="FK43" s="4"/>
      <c r="FL43" s="4"/>
      <c r="FM43" s="4"/>
      <c r="FN43" s="4"/>
      <c r="FO43" s="4"/>
      <c r="FP43" s="4"/>
      <c r="FQ43" s="4"/>
      <c r="FR43" s="4"/>
      <c r="FS43" s="4"/>
      <c r="FT43" s="4"/>
      <c r="FU43" s="4"/>
      <c r="FV43" s="4"/>
      <c r="FW43" s="4"/>
      <c r="FX43" s="4"/>
      <c r="FY43" s="4"/>
      <c r="FZ43" s="4"/>
      <c r="GA43" s="4"/>
      <c r="GB43" s="4"/>
      <c r="GC43" s="4"/>
      <c r="GD43" s="4"/>
      <c r="GE43" s="4"/>
      <c r="GF43" s="4"/>
      <c r="GG43" s="4"/>
    </row>
    <row r="44" spans="1:189" outlineLevel="4">
      <c r="A44" s="110"/>
      <c r="B44" s="110"/>
      <c r="C44" s="110">
        <v>5</v>
      </c>
      <c r="D44" s="3" t="s">
        <v>1037</v>
      </c>
      <c r="E44" s="175"/>
      <c r="F44" s="175"/>
      <c r="G44" s="175"/>
      <c r="H44" s="175"/>
      <c r="I44" s="175" t="s">
        <v>1038</v>
      </c>
      <c r="J44" s="175"/>
      <c r="K44" s="175"/>
      <c r="L44" s="175"/>
      <c r="M44" s="176">
        <v>43434</v>
      </c>
      <c r="N44" s="176">
        <v>43493</v>
      </c>
      <c r="O44" s="175"/>
      <c r="P44" s="177">
        <v>40</v>
      </c>
      <c r="Q44" s="177">
        <v>0</v>
      </c>
      <c r="R44" s="178">
        <v>40</v>
      </c>
      <c r="S44" s="178">
        <v>0</v>
      </c>
      <c r="T44" s="176"/>
      <c r="U44" s="176"/>
      <c r="V44" s="179"/>
      <c r="W44" s="180">
        <v>0</v>
      </c>
      <c r="X44" s="181">
        <v>1</v>
      </c>
      <c r="Y44" s="175" t="s">
        <v>1029</v>
      </c>
      <c r="Z44" s="182"/>
      <c r="AA44" s="94">
        <v>0</v>
      </c>
      <c r="AB44" s="183">
        <v>0</v>
      </c>
      <c r="AC44" s="116"/>
      <c r="AD44" s="4"/>
      <c r="AE44" s="4"/>
      <c r="AF44" s="4"/>
      <c r="AG44" s="4"/>
      <c r="AH44" s="4"/>
      <c r="AI44" s="4"/>
      <c r="AJ44" s="4"/>
      <c r="AK44" s="4" t="str">
        <f>"     " &amp; TEXT(AB44,"#0.00%") &amp; " "</f>
        <v xml:space="preserve">     0.00% </v>
      </c>
      <c r="AL44" s="4"/>
      <c r="AM44" s="4"/>
      <c r="AN44" s="4"/>
      <c r="AO44" s="4"/>
      <c r="AP44" s="4"/>
      <c r="AQ44" s="4"/>
      <c r="AR44" s="4"/>
      <c r="AS44" s="4"/>
      <c r="AT44" s="4" t="str">
        <f>"  " &amp; "모듈C" &amp; "(이개발)" &amp; " " &amp; IF(M44="","",TEXT(M44,"M/D-")) &amp; IF(N44="","",TEXT(N44,"M/D")) &amp; " "</f>
        <v xml:space="preserve">  모듈C(이개발) 11/30-1/28 </v>
      </c>
      <c r="AU44" s="4"/>
      <c r="AV44" s="4"/>
      <c r="AW44" s="4"/>
      <c r="AX44" s="4"/>
      <c r="AY44" s="4"/>
      <c r="AZ44" s="4"/>
      <c r="BA44" s="4"/>
      <c r="BB44" s="4"/>
      <c r="BC44" s="4"/>
      <c r="BD44" s="4"/>
      <c r="BE44" s="4"/>
      <c r="BF44" s="4"/>
      <c r="BG44" s="4"/>
      <c r="BH44" s="4"/>
      <c r="BI44" s="4"/>
      <c r="BJ44" s="4"/>
      <c r="BK44" s="4"/>
      <c r="BL44" s="4"/>
      <c r="BM44" s="4"/>
      <c r="BN44" s="4"/>
      <c r="BO44" s="4"/>
      <c r="BP44" s="4"/>
      <c r="BQ44" s="4"/>
      <c r="BR44" s="4"/>
      <c r="BS44" s="4"/>
      <c r="BT44" s="4"/>
      <c r="BU44" s="4"/>
      <c r="BV44" s="4"/>
      <c r="BW44" s="4"/>
      <c r="BX44" s="4"/>
      <c r="BY44" s="4"/>
      <c r="BZ44" s="4"/>
      <c r="CA44" s="4"/>
      <c r="CB44" s="4"/>
      <c r="CC44" s="4"/>
      <c r="CD44" s="4"/>
      <c r="CE44" s="4"/>
      <c r="CF44" s="4"/>
      <c r="CG44" s="4"/>
      <c r="CH44" s="4"/>
      <c r="CI44" s="4"/>
      <c r="CJ44" s="4"/>
      <c r="CK44" s="4"/>
      <c r="CL44" s="4"/>
      <c r="CM44" s="4"/>
      <c r="CN44" s="4"/>
      <c r="CO44" s="4"/>
      <c r="CP44" s="4"/>
      <c r="CQ44" s="4"/>
      <c r="CR44" s="4"/>
      <c r="CS44" s="4"/>
      <c r="CT44" s="4"/>
      <c r="CU44" s="4"/>
      <c r="CV44" s="4"/>
      <c r="CW44" s="4"/>
      <c r="CX44" s="4"/>
      <c r="CY44" s="4"/>
      <c r="CZ44" s="4"/>
      <c r="DA44" s="4"/>
      <c r="DB44" s="4"/>
      <c r="DC44" s="4"/>
      <c r="DD44" s="4"/>
      <c r="DE44" s="4"/>
      <c r="DF44" s="4"/>
      <c r="DG44" s="4"/>
      <c r="DH44" s="4"/>
      <c r="DI44" s="4"/>
      <c r="DJ44" s="4"/>
      <c r="DK44" s="4"/>
      <c r="DL44" s="4"/>
      <c r="DM44" s="4"/>
      <c r="DN44" s="4"/>
      <c r="DO44" s="4"/>
      <c r="DP44" s="4"/>
      <c r="DQ44" s="4"/>
      <c r="DR44" s="4"/>
      <c r="DS44" s="4"/>
      <c r="DT44" s="4"/>
      <c r="DU44" s="4"/>
      <c r="DV44" s="4"/>
      <c r="DW44" s="4"/>
      <c r="DX44" s="4"/>
      <c r="DY44" s="4"/>
      <c r="DZ44" s="4"/>
      <c r="EA44" s="4"/>
      <c r="EB44" s="4"/>
      <c r="EC44" s="4"/>
      <c r="ED44" s="4"/>
      <c r="EE44" s="4"/>
      <c r="EF44" s="4"/>
      <c r="EG44" s="4"/>
      <c r="EH44" s="4"/>
      <c r="EI44" s="4"/>
      <c r="EJ44" s="4"/>
      <c r="EK44" s="4"/>
      <c r="EL44" s="4"/>
      <c r="EM44" s="4"/>
      <c r="EN44" s="4"/>
      <c r="EO44" s="4"/>
      <c r="EP44" s="4"/>
      <c r="EQ44" s="4"/>
      <c r="ER44" s="4"/>
      <c r="ES44" s="4"/>
      <c r="ET44" s="4"/>
      <c r="EU44" s="4"/>
      <c r="EV44" s="4"/>
      <c r="EW44" s="4"/>
      <c r="EX44" s="4"/>
      <c r="EY44" s="4"/>
      <c r="EZ44" s="4"/>
      <c r="FA44" s="4"/>
      <c r="FB44" s="4"/>
      <c r="FC44" s="4"/>
      <c r="FD44" s="4"/>
      <c r="FE44" s="4"/>
      <c r="FF44" s="4"/>
      <c r="FG44" s="4"/>
      <c r="FH44" s="4"/>
      <c r="FI44" s="4"/>
      <c r="FJ44" s="4"/>
      <c r="FK44" s="4"/>
      <c r="FL44" s="4"/>
      <c r="FM44" s="4"/>
      <c r="FN44" s="4"/>
      <c r="FO44" s="4"/>
      <c r="FP44" s="4"/>
      <c r="FQ44" s="4"/>
      <c r="FR44" s="4"/>
      <c r="FS44" s="4"/>
      <c r="FT44" s="4"/>
      <c r="FU44" s="4"/>
      <c r="FV44" s="4"/>
      <c r="FW44" s="4"/>
      <c r="FX44" s="4"/>
      <c r="FY44" s="4"/>
      <c r="FZ44" s="4"/>
      <c r="GA44" s="4"/>
      <c r="GB44" s="4"/>
      <c r="GC44" s="4"/>
      <c r="GD44" s="4"/>
      <c r="GE44" s="4"/>
      <c r="GF44" s="4"/>
      <c r="GG44" s="4"/>
    </row>
    <row r="45" spans="1:189" outlineLevel="4">
      <c r="A45" s="110"/>
      <c r="B45" s="110"/>
      <c r="C45" s="110">
        <v>5</v>
      </c>
      <c r="D45" s="3" t="s">
        <v>1039</v>
      </c>
      <c r="E45" s="175"/>
      <c r="F45" s="175"/>
      <c r="G45" s="175"/>
      <c r="H45" s="175"/>
      <c r="I45" s="175" t="s">
        <v>1040</v>
      </c>
      <c r="J45" s="175"/>
      <c r="K45" s="175"/>
      <c r="L45" s="175"/>
      <c r="M45" s="176">
        <v>43448</v>
      </c>
      <c r="N45" s="176">
        <v>43493</v>
      </c>
      <c r="O45" s="175"/>
      <c r="P45" s="177">
        <v>30</v>
      </c>
      <c r="Q45" s="177">
        <v>0</v>
      </c>
      <c r="R45" s="178">
        <v>30</v>
      </c>
      <c r="S45" s="178">
        <v>0</v>
      </c>
      <c r="T45" s="176"/>
      <c r="U45" s="176"/>
      <c r="V45" s="179"/>
      <c r="W45" s="180">
        <v>0</v>
      </c>
      <c r="X45" s="181">
        <v>1</v>
      </c>
      <c r="Y45" s="175" t="s">
        <v>1032</v>
      </c>
      <c r="Z45" s="182"/>
      <c r="AA45" s="94">
        <v>0</v>
      </c>
      <c r="AB45" s="183">
        <v>0</v>
      </c>
      <c r="AC45" s="116"/>
      <c r="AD45" s="4"/>
      <c r="AE45" s="4"/>
      <c r="AF45" s="4"/>
      <c r="AG45" s="4"/>
      <c r="AH45" s="4"/>
      <c r="AI45" s="4"/>
      <c r="AJ45" s="4"/>
      <c r="AK45" s="4"/>
      <c r="AL45" s="4"/>
      <c r="AM45" s="4" t="str">
        <f>"     " &amp; TEXT(AB45,"#0.00%") &amp; " "</f>
        <v xml:space="preserve">     0.00% </v>
      </c>
      <c r="AN45" s="4"/>
      <c r="AO45" s="4"/>
      <c r="AP45" s="4"/>
      <c r="AQ45" s="4"/>
      <c r="AR45" s="4"/>
      <c r="AS45" s="4"/>
      <c r="AT45" s="4" t="str">
        <f>"  " &amp; "모듈D" &amp; "(박개발)" &amp; " " &amp; IF(M45="","",TEXT(M45,"M/D-")) &amp; IF(N45="","",TEXT(N45,"M/D")) &amp; " "</f>
        <v xml:space="preserve">  모듈D(박개발) 12/14-1/28 </v>
      </c>
      <c r="AU45" s="4"/>
      <c r="AV45" s="4"/>
      <c r="AW45" s="4"/>
      <c r="AX45" s="4"/>
      <c r="AY45" s="4"/>
      <c r="AZ45" s="4"/>
      <c r="BA45" s="4"/>
      <c r="BB45" s="4"/>
      <c r="BC45" s="4"/>
      <c r="BD45" s="4"/>
      <c r="BE45" s="4"/>
      <c r="BF45" s="4"/>
      <c r="BG45" s="4"/>
      <c r="BH45" s="4"/>
      <c r="BI45" s="4"/>
      <c r="BJ45" s="4"/>
      <c r="BK45" s="4"/>
      <c r="BL45" s="4"/>
      <c r="BM45" s="4"/>
      <c r="BN45" s="4"/>
      <c r="BO45" s="4"/>
      <c r="BP45" s="4"/>
      <c r="BQ45" s="4"/>
      <c r="BR45" s="4"/>
      <c r="BS45" s="4"/>
      <c r="BT45" s="4"/>
      <c r="BU45" s="4"/>
      <c r="BV45" s="4"/>
      <c r="BW45" s="4"/>
      <c r="BX45" s="4"/>
      <c r="BY45" s="4"/>
      <c r="BZ45" s="4"/>
      <c r="CA45" s="4"/>
      <c r="CB45" s="4"/>
      <c r="CC45" s="4"/>
      <c r="CD45" s="4"/>
      <c r="CE45" s="4"/>
      <c r="CF45" s="4"/>
      <c r="CG45" s="4"/>
      <c r="CH45" s="4"/>
      <c r="CI45" s="4"/>
      <c r="CJ45" s="4"/>
      <c r="CK45" s="4"/>
      <c r="CL45" s="4"/>
      <c r="CM45" s="4"/>
      <c r="CN45" s="4"/>
      <c r="CO45" s="4"/>
      <c r="CP45" s="4"/>
      <c r="CQ45" s="4"/>
      <c r="CR45" s="4"/>
      <c r="CS45" s="4"/>
      <c r="CT45" s="4"/>
      <c r="CU45" s="4"/>
      <c r="CV45" s="4"/>
      <c r="CW45" s="4"/>
      <c r="CX45" s="4"/>
      <c r="CY45" s="4"/>
      <c r="CZ45" s="4"/>
      <c r="DA45" s="4"/>
      <c r="DB45" s="4"/>
      <c r="DC45" s="4"/>
      <c r="DD45" s="4"/>
      <c r="DE45" s="4"/>
      <c r="DF45" s="4"/>
      <c r="DG45" s="4"/>
      <c r="DH45" s="4"/>
      <c r="DI45" s="4"/>
      <c r="DJ45" s="4"/>
      <c r="DK45" s="4"/>
      <c r="DL45" s="4"/>
      <c r="DM45" s="4"/>
      <c r="DN45" s="4"/>
      <c r="DO45" s="4"/>
      <c r="DP45" s="4"/>
      <c r="DQ45" s="4"/>
      <c r="DR45" s="4"/>
      <c r="DS45" s="4"/>
      <c r="DT45" s="4"/>
      <c r="DU45" s="4"/>
      <c r="DV45" s="4"/>
      <c r="DW45" s="4"/>
      <c r="DX45" s="4"/>
      <c r="DY45" s="4"/>
      <c r="DZ45" s="4"/>
      <c r="EA45" s="4"/>
      <c r="EB45" s="4"/>
      <c r="EC45" s="4"/>
      <c r="ED45" s="4"/>
      <c r="EE45" s="4"/>
      <c r="EF45" s="4"/>
      <c r="EG45" s="4"/>
      <c r="EH45" s="4"/>
      <c r="EI45" s="4"/>
      <c r="EJ45" s="4"/>
      <c r="EK45" s="4"/>
      <c r="EL45" s="4"/>
      <c r="EM45" s="4"/>
      <c r="EN45" s="4"/>
      <c r="EO45" s="4"/>
      <c r="EP45" s="4"/>
      <c r="EQ45" s="4"/>
      <c r="ER45" s="4"/>
      <c r="ES45" s="4"/>
      <c r="ET45" s="4"/>
      <c r="EU45" s="4"/>
      <c r="EV45" s="4"/>
      <c r="EW45" s="4"/>
      <c r="EX45" s="4"/>
      <c r="EY45" s="4"/>
      <c r="EZ45" s="4"/>
      <c r="FA45" s="4"/>
      <c r="FB45" s="4"/>
      <c r="FC45" s="4"/>
      <c r="FD45" s="4"/>
      <c r="FE45" s="4"/>
      <c r="FF45" s="4"/>
      <c r="FG45" s="4"/>
      <c r="FH45" s="4"/>
      <c r="FI45" s="4"/>
      <c r="FJ45" s="4"/>
      <c r="FK45" s="4"/>
      <c r="FL45" s="4"/>
      <c r="FM45" s="4"/>
      <c r="FN45" s="4"/>
      <c r="FO45" s="4"/>
      <c r="FP45" s="4"/>
      <c r="FQ45" s="4"/>
      <c r="FR45" s="4"/>
      <c r="FS45" s="4"/>
      <c r="FT45" s="4"/>
      <c r="FU45" s="4"/>
      <c r="FV45" s="4"/>
      <c r="FW45" s="4"/>
      <c r="FX45" s="4"/>
      <c r="FY45" s="4"/>
      <c r="FZ45" s="4"/>
      <c r="GA45" s="4"/>
      <c r="GB45" s="4"/>
      <c r="GC45" s="4"/>
      <c r="GD45" s="4"/>
      <c r="GE45" s="4"/>
      <c r="GF45" s="4"/>
      <c r="GG45" s="4"/>
    </row>
    <row r="46" spans="1:189" outlineLevel="2">
      <c r="A46" s="110"/>
      <c r="B46" s="110" t="s">
        <v>1080</v>
      </c>
      <c r="C46" s="110">
        <v>3</v>
      </c>
      <c r="D46" s="3" t="s">
        <v>1115</v>
      </c>
      <c r="E46" s="175"/>
      <c r="F46" s="175"/>
      <c r="G46" s="175" t="s">
        <v>1116</v>
      </c>
      <c r="H46" s="175"/>
      <c r="I46" s="175"/>
      <c r="J46" s="175"/>
      <c r="K46" s="175"/>
      <c r="L46" s="175"/>
      <c r="M46" s="176">
        <v>43476</v>
      </c>
      <c r="N46" s="176">
        <v>43501</v>
      </c>
      <c r="O46" s="175"/>
      <c r="P46" s="177">
        <v>14</v>
      </c>
      <c r="Q46" s="177">
        <v>0</v>
      </c>
      <c r="R46" s="178">
        <v>16</v>
      </c>
      <c r="S46" s="178">
        <v>0</v>
      </c>
      <c r="T46" s="176"/>
      <c r="U46" s="176"/>
      <c r="V46" s="179">
        <v>0</v>
      </c>
      <c r="W46" s="180">
        <v>0</v>
      </c>
      <c r="X46" s="181"/>
      <c r="Y46" s="175"/>
      <c r="Z46" s="182"/>
      <c r="AA46" s="94">
        <v>0</v>
      </c>
      <c r="AB46" s="183">
        <v>0</v>
      </c>
      <c r="AC46" s="116"/>
      <c r="AD46" s="4"/>
      <c r="AE46" s="4"/>
      <c r="AF46" s="4"/>
      <c r="AG46" s="4"/>
      <c r="AH46" s="4"/>
      <c r="AI46" s="4"/>
      <c r="AJ46" s="4"/>
      <c r="AK46" s="4"/>
      <c r="AL46" s="4"/>
      <c r="AM46" s="4"/>
      <c r="AN46" s="4"/>
      <c r="AO46" s="4"/>
      <c r="AP46" s="4"/>
      <c r="AQ46" s="4" t="str">
        <f>"     " &amp; TEXT(AB46,"#0.00%") &amp; " "</f>
        <v xml:space="preserve">     0.00% </v>
      </c>
      <c r="AR46" s="4"/>
      <c r="AS46" s="4"/>
      <c r="AT46" s="4"/>
      <c r="AU46" s="4" t="str">
        <f>"   " &amp; "테스트실시" &amp; " " &amp; IF(M46="","",TEXT(M46,"M/D-")) &amp; IF(N46="","",TEXT(N46,"M/D")) &amp; " "</f>
        <v xml:space="preserve">   테스트실시 1/11-2/5 </v>
      </c>
      <c r="AV46" s="4"/>
      <c r="AW46" s="4"/>
      <c r="AX46" s="4"/>
      <c r="AY46" s="4"/>
      <c r="AZ46" s="4"/>
      <c r="BA46" s="4"/>
      <c r="BB46" s="4"/>
      <c r="BC46" s="4"/>
      <c r="BD46" s="4"/>
      <c r="BE46" s="4"/>
      <c r="BF46" s="4"/>
      <c r="BG46" s="4"/>
      <c r="BH46" s="4"/>
      <c r="BI46" s="4"/>
      <c r="BJ46" s="4"/>
      <c r="BK46" s="4"/>
      <c r="BL46" s="4"/>
      <c r="BM46" s="4"/>
      <c r="BN46" s="4"/>
      <c r="BO46" s="4"/>
      <c r="BP46" s="4"/>
      <c r="BQ46" s="4"/>
      <c r="BR46" s="4"/>
      <c r="BS46" s="4"/>
      <c r="BT46" s="4"/>
      <c r="BU46" s="4"/>
      <c r="BV46" s="4"/>
      <c r="BW46" s="4"/>
      <c r="BX46" s="4"/>
      <c r="BY46" s="4"/>
      <c r="BZ46" s="4"/>
      <c r="CA46" s="4"/>
      <c r="CB46" s="4"/>
      <c r="CC46" s="4"/>
      <c r="CD46" s="4"/>
      <c r="CE46" s="4"/>
      <c r="CF46" s="4"/>
      <c r="CG46" s="4"/>
      <c r="CH46" s="4"/>
      <c r="CI46" s="4"/>
      <c r="CJ46" s="4"/>
      <c r="CK46" s="4"/>
      <c r="CL46" s="4"/>
      <c r="CM46" s="4"/>
      <c r="CN46" s="4"/>
      <c r="CO46" s="4"/>
      <c r="CP46" s="4"/>
      <c r="CQ46" s="4"/>
      <c r="CR46" s="4"/>
      <c r="CS46" s="4"/>
      <c r="CT46" s="4"/>
      <c r="CU46" s="4"/>
      <c r="CV46" s="4"/>
      <c r="CW46" s="4"/>
      <c r="CX46" s="4"/>
      <c r="CY46" s="4"/>
      <c r="CZ46" s="4"/>
      <c r="DA46" s="4"/>
      <c r="DB46" s="4"/>
      <c r="DC46" s="4"/>
      <c r="DD46" s="4"/>
      <c r="DE46" s="4"/>
      <c r="DF46" s="4"/>
      <c r="DG46" s="4"/>
      <c r="DH46" s="4"/>
      <c r="DI46" s="4"/>
      <c r="DJ46" s="4"/>
      <c r="DK46" s="4"/>
      <c r="DL46" s="4"/>
      <c r="DM46" s="4"/>
      <c r="DN46" s="4"/>
      <c r="DO46" s="4"/>
      <c r="DP46" s="4"/>
      <c r="DQ46" s="4"/>
      <c r="DR46" s="4"/>
      <c r="DS46" s="4"/>
      <c r="DT46" s="4"/>
      <c r="DU46" s="4"/>
      <c r="DV46" s="4"/>
      <c r="DW46" s="4"/>
      <c r="DX46" s="4"/>
      <c r="DY46" s="4"/>
      <c r="DZ46" s="4"/>
      <c r="EA46" s="4"/>
      <c r="EB46" s="4"/>
      <c r="EC46" s="4"/>
      <c r="ED46" s="4"/>
      <c r="EE46" s="4"/>
      <c r="EF46" s="4"/>
      <c r="EG46" s="4"/>
      <c r="EH46" s="4"/>
      <c r="EI46" s="4"/>
      <c r="EJ46" s="4"/>
      <c r="EK46" s="4"/>
      <c r="EL46" s="4"/>
      <c r="EM46" s="4"/>
      <c r="EN46" s="4"/>
      <c r="EO46" s="4"/>
      <c r="EP46" s="4"/>
      <c r="EQ46" s="4"/>
      <c r="ER46" s="4"/>
      <c r="ES46" s="4"/>
      <c r="ET46" s="4"/>
      <c r="EU46" s="4"/>
      <c r="EV46" s="4"/>
      <c r="EW46" s="4"/>
      <c r="EX46" s="4"/>
      <c r="EY46" s="4"/>
      <c r="EZ46" s="4"/>
      <c r="FA46" s="4"/>
      <c r="FB46" s="4"/>
      <c r="FC46" s="4"/>
      <c r="FD46" s="4"/>
      <c r="FE46" s="4"/>
      <c r="FF46" s="4"/>
      <c r="FG46" s="4"/>
      <c r="FH46" s="4"/>
      <c r="FI46" s="4"/>
      <c r="FJ46" s="4"/>
      <c r="FK46" s="4"/>
      <c r="FL46" s="4"/>
      <c r="FM46" s="4"/>
      <c r="FN46" s="4"/>
      <c r="FO46" s="4"/>
      <c r="FP46" s="4"/>
      <c r="FQ46" s="4"/>
      <c r="FR46" s="4"/>
      <c r="FS46" s="4"/>
      <c r="FT46" s="4"/>
      <c r="FU46" s="4"/>
      <c r="FV46" s="4"/>
      <c r="FW46" s="4"/>
      <c r="FX46" s="4"/>
      <c r="FY46" s="4"/>
      <c r="FZ46" s="4"/>
      <c r="GA46" s="4"/>
      <c r="GB46" s="4"/>
      <c r="GC46" s="4"/>
      <c r="GD46" s="4"/>
      <c r="GE46" s="4"/>
      <c r="GF46" s="4"/>
      <c r="GG46" s="4"/>
    </row>
    <row r="47" spans="1:189" outlineLevel="3">
      <c r="A47" s="110"/>
      <c r="B47" s="110"/>
      <c r="C47" s="110">
        <v>4</v>
      </c>
      <c r="D47" s="3" t="s">
        <v>1041</v>
      </c>
      <c r="E47" s="175"/>
      <c r="F47" s="175"/>
      <c r="G47" s="175"/>
      <c r="H47" s="175" t="s">
        <v>1042</v>
      </c>
      <c r="I47" s="175"/>
      <c r="J47" s="175"/>
      <c r="K47" s="175"/>
      <c r="L47" s="175"/>
      <c r="M47" s="176">
        <v>43476</v>
      </c>
      <c r="N47" s="176">
        <v>43494</v>
      </c>
      <c r="O47" s="175"/>
      <c r="P47" s="177">
        <v>13</v>
      </c>
      <c r="Q47" s="177">
        <v>0</v>
      </c>
      <c r="R47" s="178">
        <v>13</v>
      </c>
      <c r="S47" s="178">
        <v>0</v>
      </c>
      <c r="T47" s="176"/>
      <c r="U47" s="176"/>
      <c r="V47" s="179"/>
      <c r="W47" s="180">
        <v>0</v>
      </c>
      <c r="X47" s="181">
        <v>1</v>
      </c>
      <c r="Y47" s="175" t="s">
        <v>1022</v>
      </c>
      <c r="Z47" s="182"/>
      <c r="AA47" s="94">
        <v>0</v>
      </c>
      <c r="AB47" s="183">
        <v>0</v>
      </c>
      <c r="AC47" s="116"/>
      <c r="AD47" s="4"/>
      <c r="AE47" s="4"/>
      <c r="AF47" s="4"/>
      <c r="AG47" s="4"/>
      <c r="AH47" s="4"/>
      <c r="AI47" s="4"/>
      <c r="AJ47" s="4"/>
      <c r="AK47" s="4"/>
      <c r="AL47" s="4"/>
      <c r="AM47" s="4"/>
      <c r="AN47" s="4"/>
      <c r="AO47" s="4"/>
      <c r="AP47" s="4"/>
      <c r="AQ47" s="4" t="str">
        <f>"     " &amp; TEXT(AB47,"#0.00%") &amp; " " &amp; "통합테스트실시" &amp; "(김프로)" &amp; " " &amp; IF(M47="","",TEXT(M47,"M/D-")) &amp; IF(N47="","",TEXT(N47,"M/D")) &amp; " "</f>
        <v xml:space="preserve">     0.00% 통합테스트실시(김프로) 1/11-1/29 </v>
      </c>
      <c r="AR47" s="4"/>
      <c r="AS47" s="4"/>
      <c r="AT47" s="4"/>
      <c r="AU47" s="4"/>
      <c r="AV47" s="4"/>
      <c r="AW47" s="4"/>
      <c r="AX47" s="4"/>
      <c r="AY47" s="4"/>
      <c r="AZ47" s="4"/>
      <c r="BA47" s="4"/>
      <c r="BB47" s="4"/>
      <c r="BC47" s="4"/>
      <c r="BD47" s="4"/>
      <c r="BE47" s="4"/>
      <c r="BF47" s="4"/>
      <c r="BG47" s="4"/>
      <c r="BH47" s="4"/>
      <c r="BI47" s="4"/>
      <c r="BJ47" s="4"/>
      <c r="BK47" s="4"/>
      <c r="BL47" s="4"/>
      <c r="BM47" s="4"/>
      <c r="BN47" s="4"/>
      <c r="BO47" s="4"/>
      <c r="BP47" s="4"/>
      <c r="BQ47" s="4"/>
      <c r="BR47" s="4"/>
      <c r="BS47" s="4"/>
      <c r="BT47" s="4"/>
      <c r="BU47" s="4"/>
      <c r="BV47" s="4"/>
      <c r="BW47" s="4"/>
      <c r="BX47" s="4"/>
      <c r="BY47" s="4"/>
      <c r="BZ47" s="4"/>
      <c r="CA47" s="4"/>
      <c r="CB47" s="4"/>
      <c r="CC47" s="4"/>
      <c r="CD47" s="4"/>
      <c r="CE47" s="4"/>
      <c r="CF47" s="4"/>
      <c r="CG47" s="4"/>
      <c r="CH47" s="4"/>
      <c r="CI47" s="4"/>
      <c r="CJ47" s="4"/>
      <c r="CK47" s="4"/>
      <c r="CL47" s="4"/>
      <c r="CM47" s="4"/>
      <c r="CN47" s="4"/>
      <c r="CO47" s="4"/>
      <c r="CP47" s="4"/>
      <c r="CQ47" s="4"/>
      <c r="CR47" s="4"/>
      <c r="CS47" s="4"/>
      <c r="CT47" s="4"/>
      <c r="CU47" s="4"/>
      <c r="CV47" s="4"/>
      <c r="CW47" s="4"/>
      <c r="CX47" s="4"/>
      <c r="CY47" s="4"/>
      <c r="CZ47" s="4"/>
      <c r="DA47" s="4"/>
      <c r="DB47" s="4"/>
      <c r="DC47" s="4"/>
      <c r="DD47" s="4"/>
      <c r="DE47" s="4"/>
      <c r="DF47" s="4"/>
      <c r="DG47" s="4"/>
      <c r="DH47" s="4"/>
      <c r="DI47" s="4"/>
      <c r="DJ47" s="4"/>
      <c r="DK47" s="4"/>
      <c r="DL47" s="4"/>
      <c r="DM47" s="4"/>
      <c r="DN47" s="4"/>
      <c r="DO47" s="4"/>
      <c r="DP47" s="4"/>
      <c r="DQ47" s="4"/>
      <c r="DR47" s="4"/>
      <c r="DS47" s="4"/>
      <c r="DT47" s="4"/>
      <c r="DU47" s="4"/>
      <c r="DV47" s="4"/>
      <c r="DW47" s="4"/>
      <c r="DX47" s="4"/>
      <c r="DY47" s="4"/>
      <c r="DZ47" s="4"/>
      <c r="EA47" s="4"/>
      <c r="EB47" s="4"/>
      <c r="EC47" s="4"/>
      <c r="ED47" s="4"/>
      <c r="EE47" s="4"/>
      <c r="EF47" s="4"/>
      <c r="EG47" s="4"/>
      <c r="EH47" s="4"/>
      <c r="EI47" s="4"/>
      <c r="EJ47" s="4"/>
      <c r="EK47" s="4"/>
      <c r="EL47" s="4"/>
      <c r="EM47" s="4"/>
      <c r="EN47" s="4"/>
      <c r="EO47" s="4"/>
      <c r="EP47" s="4"/>
      <c r="EQ47" s="4"/>
      <c r="ER47" s="4"/>
      <c r="ES47" s="4"/>
      <c r="ET47" s="4"/>
      <c r="EU47" s="4"/>
      <c r="EV47" s="4"/>
      <c r="EW47" s="4"/>
      <c r="EX47" s="4"/>
      <c r="EY47" s="4"/>
      <c r="EZ47" s="4"/>
      <c r="FA47" s="4"/>
      <c r="FB47" s="4"/>
      <c r="FC47" s="4"/>
      <c r="FD47" s="4"/>
      <c r="FE47" s="4"/>
      <c r="FF47" s="4"/>
      <c r="FG47" s="4"/>
      <c r="FH47" s="4"/>
      <c r="FI47" s="4"/>
      <c r="FJ47" s="4"/>
      <c r="FK47" s="4"/>
      <c r="FL47" s="4"/>
      <c r="FM47" s="4"/>
      <c r="FN47" s="4"/>
      <c r="FO47" s="4"/>
      <c r="FP47" s="4"/>
      <c r="FQ47" s="4"/>
      <c r="FR47" s="4"/>
      <c r="FS47" s="4"/>
      <c r="FT47" s="4"/>
      <c r="FU47" s="4"/>
      <c r="FV47" s="4"/>
      <c r="FW47" s="4"/>
      <c r="FX47" s="4"/>
      <c r="FY47" s="4"/>
      <c r="FZ47" s="4"/>
      <c r="GA47" s="4"/>
      <c r="GB47" s="4"/>
      <c r="GC47" s="4"/>
      <c r="GD47" s="4"/>
      <c r="GE47" s="4"/>
      <c r="GF47" s="4"/>
      <c r="GG47" s="4"/>
    </row>
    <row r="48" spans="1:189" outlineLevel="3">
      <c r="A48" s="110"/>
      <c r="B48" s="110"/>
      <c r="C48" s="110">
        <v>4</v>
      </c>
      <c r="D48" s="3" t="s">
        <v>1043</v>
      </c>
      <c r="E48" s="175"/>
      <c r="F48" s="175"/>
      <c r="G48" s="175"/>
      <c r="H48" s="175" t="s">
        <v>1044</v>
      </c>
      <c r="I48" s="175"/>
      <c r="J48" s="175"/>
      <c r="K48" s="175"/>
      <c r="L48" s="175"/>
      <c r="M48" s="176">
        <v>43497</v>
      </c>
      <c r="N48" s="176">
        <v>43501</v>
      </c>
      <c r="O48" s="175"/>
      <c r="P48" s="177">
        <v>1</v>
      </c>
      <c r="Q48" s="177">
        <v>0</v>
      </c>
      <c r="R48" s="178">
        <v>1</v>
      </c>
      <c r="S48" s="178">
        <v>0</v>
      </c>
      <c r="T48" s="176"/>
      <c r="U48" s="176"/>
      <c r="V48" s="179"/>
      <c r="W48" s="180">
        <v>0</v>
      </c>
      <c r="X48" s="181">
        <v>1</v>
      </c>
      <c r="Y48" s="175" t="s">
        <v>1022</v>
      </c>
      <c r="Z48" s="182"/>
      <c r="AA48" s="94">
        <v>0</v>
      </c>
      <c r="AB48" s="183">
        <v>0</v>
      </c>
      <c r="AC48" s="116"/>
      <c r="AD48" s="4"/>
      <c r="AE48" s="4"/>
      <c r="AF48" s="4"/>
      <c r="AG48" s="4"/>
      <c r="AH48" s="4"/>
      <c r="AI48" s="4"/>
      <c r="AJ48" s="4"/>
      <c r="AK48" s="4"/>
      <c r="AL48" s="4"/>
      <c r="AM48" s="4"/>
      <c r="AN48" s="4"/>
      <c r="AO48" s="4"/>
      <c r="AP48" s="4"/>
      <c r="AQ48" s="4"/>
      <c r="AR48" s="4"/>
      <c r="AS48" s="4"/>
      <c r="AT48" s="4" t="str">
        <f>"     " &amp; TEXT(AB48,"#0.00%") &amp; " " &amp; "시스템테스트실시" &amp; "(김프로)" &amp; " " &amp; IF(M48="","",TEXT(M48,"M/D-")) &amp; IF(N48="","",TEXT(N48,"M/D")) &amp; " "</f>
        <v xml:space="preserve">     0.00% 시스템테스트실시(김프로) 2/1-2/5 </v>
      </c>
      <c r="AU48" s="4"/>
      <c r="AV48" s="4"/>
      <c r="AW48" s="4"/>
      <c r="AX48" s="4"/>
      <c r="AY48" s="4"/>
      <c r="AZ48" s="4"/>
      <c r="BA48" s="4"/>
      <c r="BB48" s="4"/>
      <c r="BC48" s="4"/>
      <c r="BD48" s="4"/>
      <c r="BE48" s="4"/>
      <c r="BF48" s="4"/>
      <c r="BG48" s="4"/>
      <c r="BH48" s="4"/>
      <c r="BI48" s="4"/>
      <c r="BJ48" s="4"/>
      <c r="BK48" s="4"/>
      <c r="BL48" s="4"/>
      <c r="BM48" s="4"/>
      <c r="BN48" s="4"/>
      <c r="BO48" s="4"/>
      <c r="BP48" s="4"/>
      <c r="BQ48" s="4"/>
      <c r="BR48" s="4"/>
      <c r="BS48" s="4"/>
      <c r="BT48" s="4"/>
      <c r="BU48" s="4"/>
      <c r="BV48" s="4"/>
      <c r="BW48" s="4"/>
      <c r="BX48" s="4"/>
      <c r="BY48" s="4"/>
      <c r="BZ48" s="4"/>
      <c r="CA48" s="4"/>
      <c r="CB48" s="4"/>
      <c r="CC48" s="4"/>
      <c r="CD48" s="4"/>
      <c r="CE48" s="4"/>
      <c r="CF48" s="4"/>
      <c r="CG48" s="4"/>
      <c r="CH48" s="4"/>
      <c r="CI48" s="4"/>
      <c r="CJ48" s="4"/>
      <c r="CK48" s="4"/>
      <c r="CL48" s="4"/>
      <c r="CM48" s="4"/>
      <c r="CN48" s="4"/>
      <c r="CO48" s="4"/>
      <c r="CP48" s="4"/>
      <c r="CQ48" s="4"/>
      <c r="CR48" s="4"/>
      <c r="CS48" s="4"/>
      <c r="CT48" s="4"/>
      <c r="CU48" s="4"/>
      <c r="CV48" s="4"/>
      <c r="CW48" s="4"/>
      <c r="CX48" s="4"/>
      <c r="CY48" s="4"/>
      <c r="CZ48" s="4"/>
      <c r="DA48" s="4"/>
      <c r="DB48" s="4"/>
      <c r="DC48" s="4"/>
      <c r="DD48" s="4"/>
      <c r="DE48" s="4"/>
      <c r="DF48" s="4"/>
      <c r="DG48" s="4"/>
      <c r="DH48" s="4"/>
      <c r="DI48" s="4"/>
      <c r="DJ48" s="4"/>
      <c r="DK48" s="4"/>
      <c r="DL48" s="4"/>
      <c r="DM48" s="4"/>
      <c r="DN48" s="4"/>
      <c r="DO48" s="4"/>
      <c r="DP48" s="4"/>
      <c r="DQ48" s="4"/>
      <c r="DR48" s="4"/>
      <c r="DS48" s="4"/>
      <c r="DT48" s="4"/>
      <c r="DU48" s="4"/>
      <c r="DV48" s="4"/>
      <c r="DW48" s="4"/>
      <c r="DX48" s="4"/>
      <c r="DY48" s="4"/>
      <c r="DZ48" s="4"/>
      <c r="EA48" s="4"/>
      <c r="EB48" s="4"/>
      <c r="EC48" s="4"/>
      <c r="ED48" s="4"/>
      <c r="EE48" s="4"/>
      <c r="EF48" s="4"/>
      <c r="EG48" s="4"/>
      <c r="EH48" s="4"/>
      <c r="EI48" s="4"/>
      <c r="EJ48" s="4"/>
      <c r="EK48" s="4"/>
      <c r="EL48" s="4"/>
      <c r="EM48" s="4"/>
      <c r="EN48" s="4"/>
      <c r="EO48" s="4"/>
      <c r="EP48" s="4"/>
      <c r="EQ48" s="4"/>
      <c r="ER48" s="4"/>
      <c r="ES48" s="4"/>
      <c r="ET48" s="4"/>
      <c r="EU48" s="4"/>
      <c r="EV48" s="4"/>
      <c r="EW48" s="4"/>
      <c r="EX48" s="4"/>
      <c r="EY48" s="4"/>
      <c r="EZ48" s="4"/>
      <c r="FA48" s="4"/>
      <c r="FB48" s="4"/>
      <c r="FC48" s="4"/>
      <c r="FD48" s="4"/>
      <c r="FE48" s="4"/>
      <c r="FF48" s="4"/>
      <c r="FG48" s="4"/>
      <c r="FH48" s="4"/>
      <c r="FI48" s="4"/>
      <c r="FJ48" s="4"/>
      <c r="FK48" s="4"/>
      <c r="FL48" s="4"/>
      <c r="FM48" s="4"/>
      <c r="FN48" s="4"/>
      <c r="FO48" s="4"/>
      <c r="FP48" s="4"/>
      <c r="FQ48" s="4"/>
      <c r="FR48" s="4"/>
      <c r="FS48" s="4"/>
      <c r="FT48" s="4"/>
      <c r="FU48" s="4"/>
      <c r="FV48" s="4"/>
      <c r="FW48" s="4"/>
      <c r="FX48" s="4"/>
      <c r="FY48" s="4"/>
      <c r="FZ48" s="4"/>
      <c r="GA48" s="4"/>
      <c r="GB48" s="4"/>
      <c r="GC48" s="4"/>
      <c r="GD48" s="4"/>
      <c r="GE48" s="4"/>
      <c r="GF48" s="4"/>
      <c r="GG48" s="4"/>
    </row>
    <row r="49" spans="1:189" outlineLevel="1">
      <c r="A49" s="110"/>
      <c r="B49" s="110" t="s">
        <v>1080</v>
      </c>
      <c r="C49" s="110">
        <v>2</v>
      </c>
      <c r="D49" s="3" t="s">
        <v>1117</v>
      </c>
      <c r="E49" s="175"/>
      <c r="F49" s="175" t="s">
        <v>1118</v>
      </c>
      <c r="G49" s="175"/>
      <c r="H49" s="175"/>
      <c r="I49" s="175"/>
      <c r="J49" s="175"/>
      <c r="K49" s="175"/>
      <c r="L49" s="175"/>
      <c r="M49" s="176">
        <v>43497</v>
      </c>
      <c r="N49" s="176">
        <v>43504</v>
      </c>
      <c r="O49" s="175"/>
      <c r="P49" s="177">
        <v>5</v>
      </c>
      <c r="Q49" s="177">
        <v>0</v>
      </c>
      <c r="R49" s="178">
        <v>3</v>
      </c>
      <c r="S49" s="178">
        <v>0</v>
      </c>
      <c r="T49" s="176"/>
      <c r="U49" s="176"/>
      <c r="V49" s="179">
        <v>0</v>
      </c>
      <c r="W49" s="180">
        <v>0</v>
      </c>
      <c r="X49" s="181"/>
      <c r="Y49" s="175"/>
      <c r="Z49" s="182"/>
      <c r="AA49" s="94">
        <v>0</v>
      </c>
      <c r="AB49" s="183">
        <v>0</v>
      </c>
      <c r="AC49" s="116"/>
      <c r="AD49" s="4"/>
      <c r="AE49" s="4"/>
      <c r="AF49" s="4"/>
      <c r="AG49" s="4"/>
      <c r="AH49" s="4"/>
      <c r="AI49" s="4"/>
      <c r="AJ49" s="4"/>
      <c r="AK49" s="4"/>
      <c r="AL49" s="4"/>
      <c r="AM49" s="4"/>
      <c r="AN49" s="4"/>
      <c r="AO49" s="4"/>
      <c r="AP49" s="4"/>
      <c r="AQ49" s="4"/>
      <c r="AR49" s="4"/>
      <c r="AS49" s="4"/>
      <c r="AT49" s="4" t="str">
        <f>"     " &amp; TEXT(AB49,"#0.00%") &amp; " " &amp; "구현" &amp; " " &amp; IF(M49="","",TEXT(M49,"M/D-")) &amp; IF(N49="","",TEXT(N49,"M/D")) &amp; " "</f>
        <v xml:space="preserve">     0.00% 구현 2/1-2/8 </v>
      </c>
      <c r="AU49" s="4"/>
      <c r="AV49" s="4"/>
      <c r="AW49" s="4"/>
      <c r="AX49" s="4"/>
      <c r="AY49" s="4"/>
      <c r="AZ49" s="4"/>
      <c r="BA49" s="4"/>
      <c r="BB49" s="4"/>
      <c r="BC49" s="4"/>
      <c r="BD49" s="4"/>
      <c r="BE49" s="4"/>
      <c r="BF49" s="4"/>
      <c r="BG49" s="4"/>
      <c r="BH49" s="4"/>
      <c r="BI49" s="4"/>
      <c r="BJ49" s="4"/>
      <c r="BK49" s="4"/>
      <c r="BL49" s="4"/>
      <c r="BM49" s="4"/>
      <c r="BN49" s="4"/>
      <c r="BO49" s="4"/>
      <c r="BP49" s="4"/>
      <c r="BQ49" s="4"/>
      <c r="BR49" s="4"/>
      <c r="BS49" s="4"/>
      <c r="BT49" s="4"/>
      <c r="BU49" s="4"/>
      <c r="BV49" s="4"/>
      <c r="BW49" s="4"/>
      <c r="BX49" s="4"/>
      <c r="BY49" s="4"/>
      <c r="BZ49" s="4"/>
      <c r="CA49" s="4"/>
      <c r="CB49" s="4"/>
      <c r="CC49" s="4"/>
      <c r="CD49" s="4"/>
      <c r="CE49" s="4"/>
      <c r="CF49" s="4"/>
      <c r="CG49" s="4"/>
      <c r="CH49" s="4"/>
      <c r="CI49" s="4"/>
      <c r="CJ49" s="4"/>
      <c r="CK49" s="4"/>
      <c r="CL49" s="4"/>
      <c r="CM49" s="4"/>
      <c r="CN49" s="4"/>
      <c r="CO49" s="4"/>
      <c r="CP49" s="4"/>
      <c r="CQ49" s="4"/>
      <c r="CR49" s="4"/>
      <c r="CS49" s="4"/>
      <c r="CT49" s="4"/>
      <c r="CU49" s="4"/>
      <c r="CV49" s="4"/>
      <c r="CW49" s="4"/>
      <c r="CX49" s="4"/>
      <c r="CY49" s="4"/>
      <c r="CZ49" s="4"/>
      <c r="DA49" s="4"/>
      <c r="DB49" s="4"/>
      <c r="DC49" s="4"/>
      <c r="DD49" s="4"/>
      <c r="DE49" s="4"/>
      <c r="DF49" s="4"/>
      <c r="DG49" s="4"/>
      <c r="DH49" s="4"/>
      <c r="DI49" s="4"/>
      <c r="DJ49" s="4"/>
      <c r="DK49" s="4"/>
      <c r="DL49" s="4"/>
      <c r="DM49" s="4"/>
      <c r="DN49" s="4"/>
      <c r="DO49" s="4"/>
      <c r="DP49" s="4"/>
      <c r="DQ49" s="4"/>
      <c r="DR49" s="4"/>
      <c r="DS49" s="4"/>
      <c r="DT49" s="4"/>
      <c r="DU49" s="4"/>
      <c r="DV49" s="4"/>
      <c r="DW49" s="4"/>
      <c r="DX49" s="4"/>
      <c r="DY49" s="4"/>
      <c r="DZ49" s="4"/>
      <c r="EA49" s="4"/>
      <c r="EB49" s="4"/>
      <c r="EC49" s="4"/>
      <c r="ED49" s="4"/>
      <c r="EE49" s="4"/>
      <c r="EF49" s="4"/>
      <c r="EG49" s="4"/>
      <c r="EH49" s="4"/>
      <c r="EI49" s="4"/>
      <c r="EJ49" s="4"/>
      <c r="EK49" s="4"/>
      <c r="EL49" s="4"/>
      <c r="EM49" s="4"/>
      <c r="EN49" s="4"/>
      <c r="EO49" s="4"/>
      <c r="EP49" s="4"/>
      <c r="EQ49" s="4"/>
      <c r="ER49" s="4"/>
      <c r="ES49" s="4"/>
      <c r="ET49" s="4"/>
      <c r="EU49" s="4"/>
      <c r="EV49" s="4"/>
      <c r="EW49" s="4"/>
      <c r="EX49" s="4"/>
      <c r="EY49" s="4"/>
      <c r="EZ49" s="4"/>
      <c r="FA49" s="4"/>
      <c r="FB49" s="4"/>
      <c r="FC49" s="4"/>
      <c r="FD49" s="4"/>
      <c r="FE49" s="4"/>
      <c r="FF49" s="4"/>
      <c r="FG49" s="4"/>
      <c r="FH49" s="4"/>
      <c r="FI49" s="4"/>
      <c r="FJ49" s="4"/>
      <c r="FK49" s="4"/>
      <c r="FL49" s="4"/>
      <c r="FM49" s="4"/>
      <c r="FN49" s="4"/>
      <c r="FO49" s="4"/>
      <c r="FP49" s="4"/>
      <c r="FQ49" s="4"/>
      <c r="FR49" s="4"/>
      <c r="FS49" s="4"/>
      <c r="FT49" s="4"/>
      <c r="FU49" s="4"/>
      <c r="FV49" s="4"/>
      <c r="FW49" s="4"/>
      <c r="FX49" s="4"/>
      <c r="FY49" s="4"/>
      <c r="FZ49" s="4"/>
      <c r="GA49" s="4"/>
      <c r="GB49" s="4"/>
      <c r="GC49" s="4"/>
      <c r="GD49" s="4"/>
      <c r="GE49" s="4"/>
      <c r="GF49" s="4"/>
      <c r="GG49" s="4"/>
    </row>
    <row r="50" spans="1:189" outlineLevel="2">
      <c r="A50" s="110"/>
      <c r="B50" s="110" t="s">
        <v>1080</v>
      </c>
      <c r="C50" s="110">
        <v>3</v>
      </c>
      <c r="D50" s="3" t="s">
        <v>1119</v>
      </c>
      <c r="E50" s="175"/>
      <c r="F50" s="175"/>
      <c r="G50" s="175" t="s">
        <v>1120</v>
      </c>
      <c r="H50" s="175"/>
      <c r="I50" s="175"/>
      <c r="J50" s="175"/>
      <c r="K50" s="175"/>
      <c r="L50" s="175"/>
      <c r="M50" s="176">
        <v>43497</v>
      </c>
      <c r="N50" s="176">
        <v>43499</v>
      </c>
      <c r="O50" s="175"/>
      <c r="P50" s="177">
        <v>1</v>
      </c>
      <c r="Q50" s="177">
        <v>0</v>
      </c>
      <c r="R50" s="178">
        <v>1</v>
      </c>
      <c r="S50" s="178">
        <v>0</v>
      </c>
      <c r="T50" s="176"/>
      <c r="U50" s="176"/>
      <c r="V50" s="179">
        <v>0</v>
      </c>
      <c r="W50" s="180">
        <v>0</v>
      </c>
      <c r="X50" s="181"/>
      <c r="Y50" s="175"/>
      <c r="Z50" s="182"/>
      <c r="AA50" s="94">
        <v>0</v>
      </c>
      <c r="AB50" s="183">
        <v>0</v>
      </c>
      <c r="AC50" s="116"/>
      <c r="AD50" s="4"/>
      <c r="AE50" s="4"/>
      <c r="AF50" s="4"/>
      <c r="AG50" s="4"/>
      <c r="AH50" s="4"/>
      <c r="AI50" s="4"/>
      <c r="AJ50" s="4"/>
      <c r="AK50" s="4"/>
      <c r="AL50" s="4"/>
      <c r="AM50" s="4"/>
      <c r="AN50" s="4"/>
      <c r="AO50" s="4"/>
      <c r="AP50" s="4"/>
      <c r="AQ50" s="4"/>
      <c r="AR50" s="4"/>
      <c r="AS50" s="4"/>
      <c r="AT50" s="4" t="str">
        <f>"     " &amp; TEXT(AB50,"#0.00%") &amp; " " &amp; "구현준비" &amp; " " &amp; IF(M50="","",TEXT(M50,"M/D-")) &amp; IF(N50="","",TEXT(N50,"M/D")) &amp; " "</f>
        <v xml:space="preserve">     0.00% 구현준비 2/1-2/3 </v>
      </c>
      <c r="AU50" s="4"/>
      <c r="AV50" s="4"/>
      <c r="AW50" s="4"/>
      <c r="AX50" s="4"/>
      <c r="AY50" s="4"/>
      <c r="AZ50" s="4"/>
      <c r="BA50" s="4"/>
      <c r="BB50" s="4"/>
      <c r="BC50" s="4"/>
      <c r="BD50" s="4"/>
      <c r="BE50" s="4"/>
      <c r="BF50" s="4"/>
      <c r="BG50" s="4"/>
      <c r="BH50" s="4"/>
      <c r="BI50" s="4"/>
      <c r="BJ50" s="4"/>
      <c r="BK50" s="4"/>
      <c r="BL50" s="4"/>
      <c r="BM50" s="4"/>
      <c r="BN50" s="4"/>
      <c r="BO50" s="4"/>
      <c r="BP50" s="4"/>
      <c r="BQ50" s="4"/>
      <c r="BR50" s="4"/>
      <c r="BS50" s="4"/>
      <c r="BT50" s="4"/>
      <c r="BU50" s="4"/>
      <c r="BV50" s="4"/>
      <c r="BW50" s="4"/>
      <c r="BX50" s="4"/>
      <c r="BY50" s="4"/>
      <c r="BZ50" s="4"/>
      <c r="CA50" s="4"/>
      <c r="CB50" s="4"/>
      <c r="CC50" s="4"/>
      <c r="CD50" s="4"/>
      <c r="CE50" s="4"/>
      <c r="CF50" s="4"/>
      <c r="CG50" s="4"/>
      <c r="CH50" s="4"/>
      <c r="CI50" s="4"/>
      <c r="CJ50" s="4"/>
      <c r="CK50" s="4"/>
      <c r="CL50" s="4"/>
      <c r="CM50" s="4"/>
      <c r="CN50" s="4"/>
      <c r="CO50" s="4"/>
      <c r="CP50" s="4"/>
      <c r="CQ50" s="4"/>
      <c r="CR50" s="4"/>
      <c r="CS50" s="4"/>
      <c r="CT50" s="4"/>
      <c r="CU50" s="4"/>
      <c r="CV50" s="4"/>
      <c r="CW50" s="4"/>
      <c r="CX50" s="4"/>
      <c r="CY50" s="4"/>
      <c r="CZ50" s="4"/>
      <c r="DA50" s="4"/>
      <c r="DB50" s="4"/>
      <c r="DC50" s="4"/>
      <c r="DD50" s="4"/>
      <c r="DE50" s="4"/>
      <c r="DF50" s="4"/>
      <c r="DG50" s="4"/>
      <c r="DH50" s="4"/>
      <c r="DI50" s="4"/>
      <c r="DJ50" s="4"/>
      <c r="DK50" s="4"/>
      <c r="DL50" s="4"/>
      <c r="DM50" s="4"/>
      <c r="DN50" s="4"/>
      <c r="DO50" s="4"/>
      <c r="DP50" s="4"/>
      <c r="DQ50" s="4"/>
      <c r="DR50" s="4"/>
      <c r="DS50" s="4"/>
      <c r="DT50" s="4"/>
      <c r="DU50" s="4"/>
      <c r="DV50" s="4"/>
      <c r="DW50" s="4"/>
      <c r="DX50" s="4"/>
      <c r="DY50" s="4"/>
      <c r="DZ50" s="4"/>
      <c r="EA50" s="4"/>
      <c r="EB50" s="4"/>
      <c r="EC50" s="4"/>
      <c r="ED50" s="4"/>
      <c r="EE50" s="4"/>
      <c r="EF50" s="4"/>
      <c r="EG50" s="4"/>
      <c r="EH50" s="4"/>
      <c r="EI50" s="4"/>
      <c r="EJ50" s="4"/>
      <c r="EK50" s="4"/>
      <c r="EL50" s="4"/>
      <c r="EM50" s="4"/>
      <c r="EN50" s="4"/>
      <c r="EO50" s="4"/>
      <c r="EP50" s="4"/>
      <c r="EQ50" s="4"/>
      <c r="ER50" s="4"/>
      <c r="ES50" s="4"/>
      <c r="ET50" s="4"/>
      <c r="EU50" s="4"/>
      <c r="EV50" s="4"/>
      <c r="EW50" s="4"/>
      <c r="EX50" s="4"/>
      <c r="EY50" s="4"/>
      <c r="EZ50" s="4"/>
      <c r="FA50" s="4"/>
      <c r="FB50" s="4"/>
      <c r="FC50" s="4"/>
      <c r="FD50" s="4"/>
      <c r="FE50" s="4"/>
      <c r="FF50" s="4"/>
      <c r="FG50" s="4"/>
      <c r="FH50" s="4"/>
      <c r="FI50" s="4"/>
      <c r="FJ50" s="4"/>
      <c r="FK50" s="4"/>
      <c r="FL50" s="4"/>
      <c r="FM50" s="4"/>
      <c r="FN50" s="4"/>
      <c r="FO50" s="4"/>
      <c r="FP50" s="4"/>
      <c r="FQ50" s="4"/>
      <c r="FR50" s="4"/>
      <c r="FS50" s="4"/>
      <c r="FT50" s="4"/>
      <c r="FU50" s="4"/>
      <c r="FV50" s="4"/>
      <c r="FW50" s="4"/>
      <c r="FX50" s="4"/>
      <c r="FY50" s="4"/>
      <c r="FZ50" s="4"/>
      <c r="GA50" s="4"/>
      <c r="GB50" s="4"/>
      <c r="GC50" s="4"/>
      <c r="GD50" s="4"/>
      <c r="GE50" s="4"/>
      <c r="GF50" s="4"/>
      <c r="GG50" s="4"/>
    </row>
    <row r="51" spans="1:189" outlineLevel="3">
      <c r="A51" s="110"/>
      <c r="B51" s="110"/>
      <c r="C51" s="110">
        <v>4</v>
      </c>
      <c r="D51" s="3" t="s">
        <v>1045</v>
      </c>
      <c r="E51" s="175"/>
      <c r="F51" s="175"/>
      <c r="G51" s="175"/>
      <c r="H51" s="175" t="s">
        <v>1046</v>
      </c>
      <c r="I51" s="175"/>
      <c r="J51" s="175"/>
      <c r="K51" s="175"/>
      <c r="L51" s="175"/>
      <c r="M51" s="176">
        <v>43497</v>
      </c>
      <c r="N51" s="176">
        <v>43499</v>
      </c>
      <c r="O51" s="175"/>
      <c r="P51" s="177">
        <v>1</v>
      </c>
      <c r="Q51" s="177">
        <v>0</v>
      </c>
      <c r="R51" s="178">
        <v>1</v>
      </c>
      <c r="S51" s="178">
        <v>0</v>
      </c>
      <c r="T51" s="176"/>
      <c r="U51" s="176"/>
      <c r="V51" s="179"/>
      <c r="W51" s="180">
        <v>0</v>
      </c>
      <c r="X51" s="181">
        <v>1</v>
      </c>
      <c r="Y51" s="175" t="s">
        <v>1022</v>
      </c>
      <c r="Z51" s="182"/>
      <c r="AA51" s="94">
        <v>0</v>
      </c>
      <c r="AB51" s="183">
        <v>0</v>
      </c>
      <c r="AC51" s="116"/>
      <c r="AD51" s="4"/>
      <c r="AE51" s="4"/>
      <c r="AF51" s="4"/>
      <c r="AG51" s="4"/>
      <c r="AH51" s="4"/>
      <c r="AI51" s="4"/>
      <c r="AJ51" s="4"/>
      <c r="AK51" s="4"/>
      <c r="AL51" s="4"/>
      <c r="AM51" s="4"/>
      <c r="AN51" s="4"/>
      <c r="AO51" s="4"/>
      <c r="AP51" s="4"/>
      <c r="AQ51" s="4"/>
      <c r="AR51" s="4"/>
      <c r="AS51" s="4"/>
      <c r="AT51" s="4" t="str">
        <f>"     " &amp; TEXT(AB51,"#0.00%") &amp; " " &amp; "Release 및 Contingency plan수립" &amp; "(김프로)" &amp; " " &amp; IF(M51="","",TEXT(M51,"M/D-")) &amp; IF(N51="","",TEXT(N51,"M/D")) &amp; " "</f>
        <v xml:space="preserve">     0.00% Release 및 Contingency plan수립(김프로) 2/1-2/3 </v>
      </c>
      <c r="AU51" s="4"/>
      <c r="AV51" s="4"/>
      <c r="AW51" s="4"/>
      <c r="AX51" s="4"/>
      <c r="AY51" s="4"/>
      <c r="AZ51" s="4"/>
      <c r="BA51" s="4"/>
      <c r="BB51" s="4"/>
      <c r="BC51" s="4"/>
      <c r="BD51" s="4"/>
      <c r="BE51" s="4"/>
      <c r="BF51" s="4"/>
      <c r="BG51" s="4"/>
      <c r="BH51" s="4"/>
      <c r="BI51" s="4"/>
      <c r="BJ51" s="4"/>
      <c r="BK51" s="4"/>
      <c r="BL51" s="4"/>
      <c r="BM51" s="4"/>
      <c r="BN51" s="4"/>
      <c r="BO51" s="4"/>
      <c r="BP51" s="4"/>
      <c r="BQ51" s="4"/>
      <c r="BR51" s="4"/>
      <c r="BS51" s="4"/>
      <c r="BT51" s="4"/>
      <c r="BU51" s="4"/>
      <c r="BV51" s="4"/>
      <c r="BW51" s="4"/>
      <c r="BX51" s="4"/>
      <c r="BY51" s="4"/>
      <c r="BZ51" s="4"/>
      <c r="CA51" s="4"/>
      <c r="CB51" s="4"/>
      <c r="CC51" s="4"/>
      <c r="CD51" s="4"/>
      <c r="CE51" s="4"/>
      <c r="CF51" s="4"/>
      <c r="CG51" s="4"/>
      <c r="CH51" s="4"/>
      <c r="CI51" s="4"/>
      <c r="CJ51" s="4"/>
      <c r="CK51" s="4"/>
      <c r="CL51" s="4"/>
      <c r="CM51" s="4"/>
      <c r="CN51" s="4"/>
      <c r="CO51" s="4"/>
      <c r="CP51" s="4"/>
      <c r="CQ51" s="4"/>
      <c r="CR51" s="4"/>
      <c r="CS51" s="4"/>
      <c r="CT51" s="4"/>
      <c r="CU51" s="4"/>
      <c r="CV51" s="4"/>
      <c r="CW51" s="4"/>
      <c r="CX51" s="4"/>
      <c r="CY51" s="4"/>
      <c r="CZ51" s="4"/>
      <c r="DA51" s="4"/>
      <c r="DB51" s="4"/>
      <c r="DC51" s="4"/>
      <c r="DD51" s="4"/>
      <c r="DE51" s="4"/>
      <c r="DF51" s="4"/>
      <c r="DG51" s="4"/>
      <c r="DH51" s="4"/>
      <c r="DI51" s="4"/>
      <c r="DJ51" s="4"/>
      <c r="DK51" s="4"/>
      <c r="DL51" s="4"/>
      <c r="DM51" s="4"/>
      <c r="DN51" s="4"/>
      <c r="DO51" s="4"/>
      <c r="DP51" s="4"/>
      <c r="DQ51" s="4"/>
      <c r="DR51" s="4"/>
      <c r="DS51" s="4"/>
      <c r="DT51" s="4"/>
      <c r="DU51" s="4"/>
      <c r="DV51" s="4"/>
      <c r="DW51" s="4"/>
      <c r="DX51" s="4"/>
      <c r="DY51" s="4"/>
      <c r="DZ51" s="4"/>
      <c r="EA51" s="4"/>
      <c r="EB51" s="4"/>
      <c r="EC51" s="4"/>
      <c r="ED51" s="4"/>
      <c r="EE51" s="4"/>
      <c r="EF51" s="4"/>
      <c r="EG51" s="4"/>
      <c r="EH51" s="4"/>
      <c r="EI51" s="4"/>
      <c r="EJ51" s="4"/>
      <c r="EK51" s="4"/>
      <c r="EL51" s="4"/>
      <c r="EM51" s="4"/>
      <c r="EN51" s="4"/>
      <c r="EO51" s="4"/>
      <c r="EP51" s="4"/>
      <c r="EQ51" s="4"/>
      <c r="ER51" s="4"/>
      <c r="ES51" s="4"/>
      <c r="ET51" s="4"/>
      <c r="EU51" s="4"/>
      <c r="EV51" s="4"/>
      <c r="EW51" s="4"/>
      <c r="EX51" s="4"/>
      <c r="EY51" s="4"/>
      <c r="EZ51" s="4"/>
      <c r="FA51" s="4"/>
      <c r="FB51" s="4"/>
      <c r="FC51" s="4"/>
      <c r="FD51" s="4"/>
      <c r="FE51" s="4"/>
      <c r="FF51" s="4"/>
      <c r="FG51" s="4"/>
      <c r="FH51" s="4"/>
      <c r="FI51" s="4"/>
      <c r="FJ51" s="4"/>
      <c r="FK51" s="4"/>
      <c r="FL51" s="4"/>
      <c r="FM51" s="4"/>
      <c r="FN51" s="4"/>
      <c r="FO51" s="4"/>
      <c r="FP51" s="4"/>
      <c r="FQ51" s="4"/>
      <c r="FR51" s="4"/>
      <c r="FS51" s="4"/>
      <c r="FT51" s="4"/>
      <c r="FU51" s="4"/>
      <c r="FV51" s="4"/>
      <c r="FW51" s="4"/>
      <c r="FX51" s="4"/>
      <c r="FY51" s="4"/>
      <c r="FZ51" s="4"/>
      <c r="GA51" s="4"/>
      <c r="GB51" s="4"/>
      <c r="GC51" s="4"/>
      <c r="GD51" s="4"/>
      <c r="GE51" s="4"/>
      <c r="GF51" s="4"/>
      <c r="GG51" s="4"/>
    </row>
    <row r="52" spans="1:189" outlineLevel="2">
      <c r="A52" s="110"/>
      <c r="B52" s="110" t="s">
        <v>1080</v>
      </c>
      <c r="C52" s="110">
        <v>3</v>
      </c>
      <c r="D52" s="3" t="s">
        <v>1121</v>
      </c>
      <c r="E52" s="175"/>
      <c r="F52" s="175"/>
      <c r="G52" s="175" t="s">
        <v>1122</v>
      </c>
      <c r="H52" s="175"/>
      <c r="I52" s="175"/>
      <c r="J52" s="175"/>
      <c r="K52" s="175"/>
      <c r="L52" s="175"/>
      <c r="M52" s="176">
        <v>43501</v>
      </c>
      <c r="N52" s="176">
        <v>43504</v>
      </c>
      <c r="O52" s="175"/>
      <c r="P52" s="177">
        <v>4</v>
      </c>
      <c r="Q52" s="177">
        <v>0</v>
      </c>
      <c r="R52" s="178">
        <v>2</v>
      </c>
      <c r="S52" s="178">
        <v>0</v>
      </c>
      <c r="T52" s="176"/>
      <c r="U52" s="176"/>
      <c r="V52" s="179">
        <v>0</v>
      </c>
      <c r="W52" s="180">
        <v>0</v>
      </c>
      <c r="X52" s="181"/>
      <c r="Y52" s="175"/>
      <c r="Z52" s="182"/>
      <c r="AA52" s="94">
        <v>0</v>
      </c>
      <c r="AB52" s="183">
        <v>0</v>
      </c>
      <c r="AC52" s="116"/>
      <c r="AD52" s="4"/>
      <c r="AE52" s="4"/>
      <c r="AF52" s="4"/>
      <c r="AG52" s="4"/>
      <c r="AH52" s="4"/>
      <c r="AI52" s="4"/>
      <c r="AJ52" s="4"/>
      <c r="AK52" s="4"/>
      <c r="AL52" s="4"/>
      <c r="AM52" s="4"/>
      <c r="AN52" s="4"/>
      <c r="AO52" s="4"/>
      <c r="AP52" s="4"/>
      <c r="AQ52" s="4"/>
      <c r="AR52" s="4"/>
      <c r="AS52" s="4"/>
      <c r="AT52" s="4"/>
      <c r="AU52" s="4" t="str">
        <f>"  " &amp; TEXT(AB52,"#0.00%") &amp; " " &amp; "Conversion 및 Release" &amp; " " &amp; IF(M52="","",TEXT(M52,"M/D-")) &amp; IF(N52="","",TEXT(N52,"M/D")) &amp; " "</f>
        <v xml:space="preserve">  0.00% Conversion 및 Release 2/5-2/8 </v>
      </c>
      <c r="AV52" s="4"/>
      <c r="AW52" s="4"/>
      <c r="AX52" s="4"/>
      <c r="AY52" s="4"/>
      <c r="AZ52" s="4"/>
      <c r="BA52" s="4"/>
      <c r="BB52" s="4"/>
      <c r="BC52" s="4"/>
      <c r="BD52" s="4"/>
      <c r="BE52" s="4"/>
      <c r="BF52" s="4"/>
      <c r="BG52" s="4"/>
      <c r="BH52" s="4"/>
      <c r="BI52" s="4"/>
      <c r="BJ52" s="4"/>
      <c r="BK52" s="4"/>
      <c r="BL52" s="4"/>
      <c r="BM52" s="4"/>
      <c r="BN52" s="4"/>
      <c r="BO52" s="4"/>
      <c r="BP52" s="4"/>
      <c r="BQ52" s="4"/>
      <c r="BR52" s="4"/>
      <c r="BS52" s="4"/>
      <c r="BT52" s="4"/>
      <c r="BU52" s="4"/>
      <c r="BV52" s="4"/>
      <c r="BW52" s="4"/>
      <c r="BX52" s="4"/>
      <c r="BY52" s="4"/>
      <c r="BZ52" s="4"/>
      <c r="CA52" s="4"/>
      <c r="CB52" s="4"/>
      <c r="CC52" s="4"/>
      <c r="CD52" s="4"/>
      <c r="CE52" s="4"/>
      <c r="CF52" s="4"/>
      <c r="CG52" s="4"/>
      <c r="CH52" s="4"/>
      <c r="CI52" s="4"/>
      <c r="CJ52" s="4"/>
      <c r="CK52" s="4"/>
      <c r="CL52" s="4"/>
      <c r="CM52" s="4"/>
      <c r="CN52" s="4"/>
      <c r="CO52" s="4"/>
      <c r="CP52" s="4"/>
      <c r="CQ52" s="4"/>
      <c r="CR52" s="4"/>
      <c r="CS52" s="4"/>
      <c r="CT52" s="4"/>
      <c r="CU52" s="4"/>
      <c r="CV52" s="4"/>
      <c r="CW52" s="4"/>
      <c r="CX52" s="4"/>
      <c r="CY52" s="4"/>
      <c r="CZ52" s="4"/>
      <c r="DA52" s="4"/>
      <c r="DB52" s="4"/>
      <c r="DC52" s="4"/>
      <c r="DD52" s="4"/>
      <c r="DE52" s="4"/>
      <c r="DF52" s="4"/>
      <c r="DG52" s="4"/>
      <c r="DH52" s="4"/>
      <c r="DI52" s="4"/>
      <c r="DJ52" s="4"/>
      <c r="DK52" s="4"/>
      <c r="DL52" s="4"/>
      <c r="DM52" s="4"/>
      <c r="DN52" s="4"/>
      <c r="DO52" s="4"/>
      <c r="DP52" s="4"/>
      <c r="DQ52" s="4"/>
      <c r="DR52" s="4"/>
      <c r="DS52" s="4"/>
      <c r="DT52" s="4"/>
      <c r="DU52" s="4"/>
      <c r="DV52" s="4"/>
      <c r="DW52" s="4"/>
      <c r="DX52" s="4"/>
      <c r="DY52" s="4"/>
      <c r="DZ52" s="4"/>
      <c r="EA52" s="4"/>
      <c r="EB52" s="4"/>
      <c r="EC52" s="4"/>
      <c r="ED52" s="4"/>
      <c r="EE52" s="4"/>
      <c r="EF52" s="4"/>
      <c r="EG52" s="4"/>
      <c r="EH52" s="4"/>
      <c r="EI52" s="4"/>
      <c r="EJ52" s="4"/>
      <c r="EK52" s="4"/>
      <c r="EL52" s="4"/>
      <c r="EM52" s="4"/>
      <c r="EN52" s="4"/>
      <c r="EO52" s="4"/>
      <c r="EP52" s="4"/>
      <c r="EQ52" s="4"/>
      <c r="ER52" s="4"/>
      <c r="ES52" s="4"/>
      <c r="ET52" s="4"/>
      <c r="EU52" s="4"/>
      <c r="EV52" s="4"/>
      <c r="EW52" s="4"/>
      <c r="EX52" s="4"/>
      <c r="EY52" s="4"/>
      <c r="EZ52" s="4"/>
      <c r="FA52" s="4"/>
      <c r="FB52" s="4"/>
      <c r="FC52" s="4"/>
      <c r="FD52" s="4"/>
      <c r="FE52" s="4"/>
      <c r="FF52" s="4"/>
      <c r="FG52" s="4"/>
      <c r="FH52" s="4"/>
      <c r="FI52" s="4"/>
      <c r="FJ52" s="4"/>
      <c r="FK52" s="4"/>
      <c r="FL52" s="4"/>
      <c r="FM52" s="4"/>
      <c r="FN52" s="4"/>
      <c r="FO52" s="4"/>
      <c r="FP52" s="4"/>
      <c r="FQ52" s="4"/>
      <c r="FR52" s="4"/>
      <c r="FS52" s="4"/>
      <c r="FT52" s="4"/>
      <c r="FU52" s="4"/>
      <c r="FV52" s="4"/>
      <c r="FW52" s="4"/>
      <c r="FX52" s="4"/>
      <c r="FY52" s="4"/>
      <c r="FZ52" s="4"/>
      <c r="GA52" s="4"/>
      <c r="GB52" s="4"/>
      <c r="GC52" s="4"/>
      <c r="GD52" s="4"/>
      <c r="GE52" s="4"/>
      <c r="GF52" s="4"/>
      <c r="GG52" s="4"/>
    </row>
    <row r="53" spans="1:189" outlineLevel="3">
      <c r="A53" s="110"/>
      <c r="B53" s="110"/>
      <c r="C53" s="110">
        <v>4</v>
      </c>
      <c r="D53" s="3" t="s">
        <v>1047</v>
      </c>
      <c r="E53" s="175"/>
      <c r="F53" s="175"/>
      <c r="G53" s="175"/>
      <c r="H53" s="175" t="s">
        <v>1048</v>
      </c>
      <c r="I53" s="175"/>
      <c r="J53" s="175"/>
      <c r="K53" s="175"/>
      <c r="L53" s="175"/>
      <c r="M53" s="176">
        <v>43501</v>
      </c>
      <c r="N53" s="176">
        <v>43503</v>
      </c>
      <c r="O53" s="175"/>
      <c r="P53" s="177">
        <v>1</v>
      </c>
      <c r="Q53" s="177">
        <v>0</v>
      </c>
      <c r="R53" s="178">
        <v>1</v>
      </c>
      <c r="S53" s="178">
        <v>0</v>
      </c>
      <c r="T53" s="176"/>
      <c r="U53" s="176"/>
      <c r="V53" s="179"/>
      <c r="W53" s="180">
        <v>0</v>
      </c>
      <c r="X53" s="181">
        <v>1</v>
      </c>
      <c r="Y53" s="175" t="s">
        <v>1123</v>
      </c>
      <c r="Z53" s="182"/>
      <c r="AA53" s="94">
        <v>0</v>
      </c>
      <c r="AB53" s="183">
        <v>0</v>
      </c>
      <c r="AC53" s="116"/>
      <c r="AD53" s="4"/>
      <c r="AE53" s="4"/>
      <c r="AF53" s="4"/>
      <c r="AG53" s="4"/>
      <c r="AH53" s="4"/>
      <c r="AI53" s="4"/>
      <c r="AJ53" s="4"/>
      <c r="AK53" s="4"/>
      <c r="AL53" s="4"/>
      <c r="AM53" s="4"/>
      <c r="AN53" s="4"/>
      <c r="AO53" s="4"/>
      <c r="AP53" s="4"/>
      <c r="AQ53" s="4"/>
      <c r="AR53" s="4"/>
      <c r="AS53" s="4"/>
      <c r="AT53" s="4"/>
      <c r="AU53" s="4" t="str">
        <f>"  " &amp; TEXT(AB53,"#0.00%") &amp; " " &amp; "데이터베이스구축" &amp; "(김프로,김디비)" &amp; " " &amp; IF(M53="","",TEXT(M53,"M/D-")) &amp; IF(N53="","",TEXT(N53,"M/D")) &amp; " "</f>
        <v xml:space="preserve">  0.00% 데이터베이스구축(김프로,김디비) 2/5-2/7 </v>
      </c>
      <c r="AV53" s="4"/>
      <c r="AW53" s="4"/>
      <c r="AX53" s="4"/>
      <c r="AY53" s="4"/>
      <c r="AZ53" s="4"/>
      <c r="BA53" s="4"/>
      <c r="BB53" s="4"/>
      <c r="BC53" s="4"/>
      <c r="BD53" s="4"/>
      <c r="BE53" s="4"/>
      <c r="BF53" s="4"/>
      <c r="BG53" s="4"/>
      <c r="BH53" s="4"/>
      <c r="BI53" s="4"/>
      <c r="BJ53" s="4"/>
      <c r="BK53" s="4"/>
      <c r="BL53" s="4"/>
      <c r="BM53" s="4"/>
      <c r="BN53" s="4"/>
      <c r="BO53" s="4"/>
      <c r="BP53" s="4"/>
      <c r="BQ53" s="4"/>
      <c r="BR53" s="4"/>
      <c r="BS53" s="4"/>
      <c r="BT53" s="4"/>
      <c r="BU53" s="4"/>
      <c r="BV53" s="4"/>
      <c r="BW53" s="4"/>
      <c r="BX53" s="4"/>
      <c r="BY53" s="4"/>
      <c r="BZ53" s="4"/>
      <c r="CA53" s="4"/>
      <c r="CB53" s="4"/>
      <c r="CC53" s="4"/>
      <c r="CD53" s="4"/>
      <c r="CE53" s="4"/>
      <c r="CF53" s="4"/>
      <c r="CG53" s="4"/>
      <c r="CH53" s="4"/>
      <c r="CI53" s="4"/>
      <c r="CJ53" s="4"/>
      <c r="CK53" s="4"/>
      <c r="CL53" s="4"/>
      <c r="CM53" s="4"/>
      <c r="CN53" s="4"/>
      <c r="CO53" s="4"/>
      <c r="CP53" s="4"/>
      <c r="CQ53" s="4"/>
      <c r="CR53" s="4"/>
      <c r="CS53" s="4"/>
      <c r="CT53" s="4"/>
      <c r="CU53" s="4"/>
      <c r="CV53" s="4"/>
      <c r="CW53" s="4"/>
      <c r="CX53" s="4"/>
      <c r="CY53" s="4"/>
      <c r="CZ53" s="4"/>
      <c r="DA53" s="4"/>
      <c r="DB53" s="4"/>
      <c r="DC53" s="4"/>
      <c r="DD53" s="4"/>
      <c r="DE53" s="4"/>
      <c r="DF53" s="4"/>
      <c r="DG53" s="4"/>
      <c r="DH53" s="4"/>
      <c r="DI53" s="4"/>
      <c r="DJ53" s="4"/>
      <c r="DK53" s="4"/>
      <c r="DL53" s="4"/>
      <c r="DM53" s="4"/>
      <c r="DN53" s="4"/>
      <c r="DO53" s="4"/>
      <c r="DP53" s="4"/>
      <c r="DQ53" s="4"/>
      <c r="DR53" s="4"/>
      <c r="DS53" s="4"/>
      <c r="DT53" s="4"/>
      <c r="DU53" s="4"/>
      <c r="DV53" s="4"/>
      <c r="DW53" s="4"/>
      <c r="DX53" s="4"/>
      <c r="DY53" s="4"/>
      <c r="DZ53" s="4"/>
      <c r="EA53" s="4"/>
      <c r="EB53" s="4"/>
      <c r="EC53" s="4"/>
      <c r="ED53" s="4"/>
      <c r="EE53" s="4"/>
      <c r="EF53" s="4"/>
      <c r="EG53" s="4"/>
      <c r="EH53" s="4"/>
      <c r="EI53" s="4"/>
      <c r="EJ53" s="4"/>
      <c r="EK53" s="4"/>
      <c r="EL53" s="4"/>
      <c r="EM53" s="4"/>
      <c r="EN53" s="4"/>
      <c r="EO53" s="4"/>
      <c r="EP53" s="4"/>
      <c r="EQ53" s="4"/>
      <c r="ER53" s="4"/>
      <c r="ES53" s="4"/>
      <c r="ET53" s="4"/>
      <c r="EU53" s="4"/>
      <c r="EV53" s="4"/>
      <c r="EW53" s="4"/>
      <c r="EX53" s="4"/>
      <c r="EY53" s="4"/>
      <c r="EZ53" s="4"/>
      <c r="FA53" s="4"/>
      <c r="FB53" s="4"/>
      <c r="FC53" s="4"/>
      <c r="FD53" s="4"/>
      <c r="FE53" s="4"/>
      <c r="FF53" s="4"/>
      <c r="FG53" s="4"/>
      <c r="FH53" s="4"/>
      <c r="FI53" s="4"/>
      <c r="FJ53" s="4"/>
      <c r="FK53" s="4"/>
      <c r="FL53" s="4"/>
      <c r="FM53" s="4"/>
      <c r="FN53" s="4"/>
      <c r="FO53" s="4"/>
      <c r="FP53" s="4"/>
      <c r="FQ53" s="4"/>
      <c r="FR53" s="4"/>
      <c r="FS53" s="4"/>
      <c r="FT53" s="4"/>
      <c r="FU53" s="4"/>
      <c r="FV53" s="4"/>
      <c r="FW53" s="4"/>
      <c r="FX53" s="4"/>
      <c r="FY53" s="4"/>
      <c r="FZ53" s="4"/>
      <c r="GA53" s="4"/>
      <c r="GB53" s="4"/>
      <c r="GC53" s="4"/>
      <c r="GD53" s="4"/>
      <c r="GE53" s="4"/>
      <c r="GF53" s="4"/>
      <c r="GG53" s="4"/>
    </row>
    <row r="54" spans="1:189" outlineLevel="3">
      <c r="A54" s="110"/>
      <c r="B54" s="110"/>
      <c r="C54" s="110">
        <v>4</v>
      </c>
      <c r="D54" s="3" t="s">
        <v>1049</v>
      </c>
      <c r="E54" s="175"/>
      <c r="F54" s="175"/>
      <c r="G54" s="175"/>
      <c r="H54" s="175" t="s">
        <v>1050</v>
      </c>
      <c r="I54" s="175"/>
      <c r="J54" s="175"/>
      <c r="K54" s="175"/>
      <c r="L54" s="175"/>
      <c r="M54" s="176">
        <v>43501</v>
      </c>
      <c r="N54" s="176">
        <v>43503</v>
      </c>
      <c r="O54" s="175"/>
      <c r="P54" s="177">
        <v>1</v>
      </c>
      <c r="Q54" s="177">
        <v>0</v>
      </c>
      <c r="R54" s="178">
        <v>1</v>
      </c>
      <c r="S54" s="178">
        <v>0</v>
      </c>
      <c r="T54" s="176"/>
      <c r="U54" s="176"/>
      <c r="V54" s="179"/>
      <c r="W54" s="180">
        <v>0</v>
      </c>
      <c r="X54" s="181">
        <v>1</v>
      </c>
      <c r="Y54" s="175" t="s">
        <v>1124</v>
      </c>
      <c r="Z54" s="182"/>
      <c r="AA54" s="94">
        <v>0</v>
      </c>
      <c r="AB54" s="183">
        <v>0</v>
      </c>
      <c r="AC54" s="116"/>
      <c r="AD54" s="4"/>
      <c r="AE54" s="4"/>
      <c r="AF54" s="4"/>
      <c r="AG54" s="4"/>
      <c r="AH54" s="4"/>
      <c r="AI54" s="4"/>
      <c r="AJ54" s="4"/>
      <c r="AK54" s="4"/>
      <c r="AL54" s="4"/>
      <c r="AM54" s="4"/>
      <c r="AN54" s="4"/>
      <c r="AO54" s="4"/>
      <c r="AP54" s="4"/>
      <c r="AQ54" s="4"/>
      <c r="AR54" s="4"/>
      <c r="AS54" s="4"/>
      <c r="AT54" s="4"/>
      <c r="AU54" s="4" t="str">
        <f>"  " &amp; TEXT(AB54,"#0.00%") &amp; " " &amp; "소프트웨어설치" &amp; "(김프로,이개발)" &amp; " " &amp; IF(M54="","",TEXT(M54,"M/D-")) &amp; IF(N54="","",TEXT(N54,"M/D")) &amp; " "</f>
        <v xml:space="preserve">  0.00% 소프트웨어설치(김프로,이개발) 2/5-2/7 </v>
      </c>
      <c r="AV54" s="4"/>
      <c r="AW54" s="4"/>
      <c r="AX54" s="4"/>
      <c r="AY54" s="4"/>
      <c r="AZ54" s="4"/>
      <c r="BA54" s="4"/>
      <c r="BB54" s="4"/>
      <c r="BC54" s="4"/>
      <c r="BD54" s="4"/>
      <c r="BE54" s="4"/>
      <c r="BF54" s="4"/>
      <c r="BG54" s="4"/>
      <c r="BH54" s="4"/>
      <c r="BI54" s="4"/>
      <c r="BJ54" s="4"/>
      <c r="BK54" s="4"/>
      <c r="BL54" s="4"/>
      <c r="BM54" s="4"/>
      <c r="BN54" s="4"/>
      <c r="BO54" s="4"/>
      <c r="BP54" s="4"/>
      <c r="BQ54" s="4"/>
      <c r="BR54" s="4"/>
      <c r="BS54" s="4"/>
      <c r="BT54" s="4"/>
      <c r="BU54" s="4"/>
      <c r="BV54" s="4"/>
      <c r="BW54" s="4"/>
      <c r="BX54" s="4"/>
      <c r="BY54" s="4"/>
      <c r="BZ54" s="4"/>
      <c r="CA54" s="4"/>
      <c r="CB54" s="4"/>
      <c r="CC54" s="4"/>
      <c r="CD54" s="4"/>
      <c r="CE54" s="4"/>
      <c r="CF54" s="4"/>
      <c r="CG54" s="4"/>
      <c r="CH54" s="4"/>
      <c r="CI54" s="4"/>
      <c r="CJ54" s="4"/>
      <c r="CK54" s="4"/>
      <c r="CL54" s="4"/>
      <c r="CM54" s="4"/>
      <c r="CN54" s="4"/>
      <c r="CO54" s="4"/>
      <c r="CP54" s="4"/>
      <c r="CQ54" s="4"/>
      <c r="CR54" s="4"/>
      <c r="CS54" s="4"/>
      <c r="CT54" s="4"/>
      <c r="CU54" s="4"/>
      <c r="CV54" s="4"/>
      <c r="CW54" s="4"/>
      <c r="CX54" s="4"/>
      <c r="CY54" s="4"/>
      <c r="CZ54" s="4"/>
      <c r="DA54" s="4"/>
      <c r="DB54" s="4"/>
      <c r="DC54" s="4"/>
      <c r="DD54" s="4"/>
      <c r="DE54" s="4"/>
      <c r="DF54" s="4"/>
      <c r="DG54" s="4"/>
      <c r="DH54" s="4"/>
      <c r="DI54" s="4"/>
      <c r="DJ54" s="4"/>
      <c r="DK54" s="4"/>
      <c r="DL54" s="4"/>
      <c r="DM54" s="4"/>
      <c r="DN54" s="4"/>
      <c r="DO54" s="4"/>
      <c r="DP54" s="4"/>
      <c r="DQ54" s="4"/>
      <c r="DR54" s="4"/>
      <c r="DS54" s="4"/>
      <c r="DT54" s="4"/>
      <c r="DU54" s="4"/>
      <c r="DV54" s="4"/>
      <c r="DW54" s="4"/>
      <c r="DX54" s="4"/>
      <c r="DY54" s="4"/>
      <c r="DZ54" s="4"/>
      <c r="EA54" s="4"/>
      <c r="EB54" s="4"/>
      <c r="EC54" s="4"/>
      <c r="ED54" s="4"/>
      <c r="EE54" s="4"/>
      <c r="EF54" s="4"/>
      <c r="EG54" s="4"/>
      <c r="EH54" s="4"/>
      <c r="EI54" s="4"/>
      <c r="EJ54" s="4"/>
      <c r="EK54" s="4"/>
      <c r="EL54" s="4"/>
      <c r="EM54" s="4"/>
      <c r="EN54" s="4"/>
      <c r="EO54" s="4"/>
      <c r="EP54" s="4"/>
      <c r="EQ54" s="4"/>
      <c r="ER54" s="4"/>
      <c r="ES54" s="4"/>
      <c r="ET54" s="4"/>
      <c r="EU54" s="4"/>
      <c r="EV54" s="4"/>
      <c r="EW54" s="4"/>
      <c r="EX54" s="4"/>
      <c r="EY54" s="4"/>
      <c r="EZ54" s="4"/>
      <c r="FA54" s="4"/>
      <c r="FB54" s="4"/>
      <c r="FC54" s="4"/>
      <c r="FD54" s="4"/>
      <c r="FE54" s="4"/>
      <c r="FF54" s="4"/>
      <c r="FG54" s="4"/>
      <c r="FH54" s="4"/>
      <c r="FI54" s="4"/>
      <c r="FJ54" s="4"/>
      <c r="FK54" s="4"/>
      <c r="FL54" s="4"/>
      <c r="FM54" s="4"/>
      <c r="FN54" s="4"/>
      <c r="FO54" s="4"/>
      <c r="FP54" s="4"/>
      <c r="FQ54" s="4"/>
      <c r="FR54" s="4"/>
      <c r="FS54" s="4"/>
      <c r="FT54" s="4"/>
      <c r="FU54" s="4"/>
      <c r="FV54" s="4"/>
      <c r="FW54" s="4"/>
      <c r="FX54" s="4"/>
      <c r="FY54" s="4"/>
      <c r="FZ54" s="4"/>
      <c r="GA54" s="4"/>
      <c r="GB54" s="4"/>
      <c r="GC54" s="4"/>
      <c r="GD54" s="4"/>
      <c r="GE54" s="4"/>
      <c r="GF54" s="4"/>
      <c r="GG54" s="4"/>
    </row>
    <row r="55" spans="1:189" outlineLevel="3">
      <c r="A55" s="110"/>
      <c r="B55" s="110"/>
      <c r="C55" s="110">
        <v>4</v>
      </c>
      <c r="D55" s="3" t="s">
        <v>1051</v>
      </c>
      <c r="E55" s="175"/>
      <c r="F55" s="175"/>
      <c r="G55" s="175"/>
      <c r="H55" s="175" t="s">
        <v>1052</v>
      </c>
      <c r="I55" s="175"/>
      <c r="J55" s="175"/>
      <c r="K55" s="175"/>
      <c r="L55" s="175"/>
      <c r="M55" s="176">
        <v>43501</v>
      </c>
      <c r="N55" s="176">
        <v>43503</v>
      </c>
      <c r="O55" s="175"/>
      <c r="P55" s="177">
        <v>1</v>
      </c>
      <c r="Q55" s="177">
        <v>0</v>
      </c>
      <c r="R55" s="178">
        <v>1</v>
      </c>
      <c r="S55" s="178">
        <v>0</v>
      </c>
      <c r="T55" s="176"/>
      <c r="U55" s="176"/>
      <c r="V55" s="179"/>
      <c r="W55" s="180">
        <v>0</v>
      </c>
      <c r="X55" s="181">
        <v>1</v>
      </c>
      <c r="Y55" s="175" t="s">
        <v>1124</v>
      </c>
      <c r="Z55" s="182"/>
      <c r="AA55" s="94">
        <v>0</v>
      </c>
      <c r="AB55" s="183">
        <v>0</v>
      </c>
      <c r="AC55" s="116"/>
      <c r="AD55" s="4"/>
      <c r="AE55" s="4"/>
      <c r="AF55" s="4"/>
      <c r="AG55" s="4"/>
      <c r="AH55" s="4"/>
      <c r="AI55" s="4"/>
      <c r="AJ55" s="4"/>
      <c r="AK55" s="4"/>
      <c r="AL55" s="4"/>
      <c r="AM55" s="4"/>
      <c r="AN55" s="4"/>
      <c r="AO55" s="4"/>
      <c r="AP55" s="4"/>
      <c r="AQ55" s="4"/>
      <c r="AR55" s="4"/>
      <c r="AS55" s="4"/>
      <c r="AT55" s="4"/>
      <c r="AU55" s="4" t="str">
        <f>"  " &amp; TEXT(AB55,"#0.00%") &amp; " " &amp; "인수테스트실시" &amp; "(김프로,이개발)" &amp; " " &amp; IF(M55="","",TEXT(M55,"M/D-")) &amp; IF(N55="","",TEXT(N55,"M/D")) &amp; " "</f>
        <v xml:space="preserve">  0.00% 인수테스트실시(김프로,이개발) 2/5-2/7 </v>
      </c>
      <c r="AV55" s="4"/>
      <c r="AW55" s="4"/>
      <c r="AX55" s="4"/>
      <c r="AY55" s="4"/>
      <c r="AZ55" s="4"/>
      <c r="BA55" s="4"/>
      <c r="BB55" s="4"/>
      <c r="BC55" s="4"/>
      <c r="BD55" s="4"/>
      <c r="BE55" s="4"/>
      <c r="BF55" s="4"/>
      <c r="BG55" s="4"/>
      <c r="BH55" s="4"/>
      <c r="BI55" s="4"/>
      <c r="BJ55" s="4"/>
      <c r="BK55" s="4"/>
      <c r="BL55" s="4"/>
      <c r="BM55" s="4"/>
      <c r="BN55" s="4"/>
      <c r="BO55" s="4"/>
      <c r="BP55" s="4"/>
      <c r="BQ55" s="4"/>
      <c r="BR55" s="4"/>
      <c r="BS55" s="4"/>
      <c r="BT55" s="4"/>
      <c r="BU55" s="4"/>
      <c r="BV55" s="4"/>
      <c r="BW55" s="4"/>
      <c r="BX55" s="4"/>
      <c r="BY55" s="4"/>
      <c r="BZ55" s="4"/>
      <c r="CA55" s="4"/>
      <c r="CB55" s="4"/>
      <c r="CC55" s="4"/>
      <c r="CD55" s="4"/>
      <c r="CE55" s="4"/>
      <c r="CF55" s="4"/>
      <c r="CG55" s="4"/>
      <c r="CH55" s="4"/>
      <c r="CI55" s="4"/>
      <c r="CJ55" s="4"/>
      <c r="CK55" s="4"/>
      <c r="CL55" s="4"/>
      <c r="CM55" s="4"/>
      <c r="CN55" s="4"/>
      <c r="CO55" s="4"/>
      <c r="CP55" s="4"/>
      <c r="CQ55" s="4"/>
      <c r="CR55" s="4"/>
      <c r="CS55" s="4"/>
      <c r="CT55" s="4"/>
      <c r="CU55" s="4"/>
      <c r="CV55" s="4"/>
      <c r="CW55" s="4"/>
      <c r="CX55" s="4"/>
      <c r="CY55" s="4"/>
      <c r="CZ55" s="4"/>
      <c r="DA55" s="4"/>
      <c r="DB55" s="4"/>
      <c r="DC55" s="4"/>
      <c r="DD55" s="4"/>
      <c r="DE55" s="4"/>
      <c r="DF55" s="4"/>
      <c r="DG55" s="4"/>
      <c r="DH55" s="4"/>
      <c r="DI55" s="4"/>
      <c r="DJ55" s="4"/>
      <c r="DK55" s="4"/>
      <c r="DL55" s="4"/>
      <c r="DM55" s="4"/>
      <c r="DN55" s="4"/>
      <c r="DO55" s="4"/>
      <c r="DP55" s="4"/>
      <c r="DQ55" s="4"/>
      <c r="DR55" s="4"/>
      <c r="DS55" s="4"/>
      <c r="DT55" s="4"/>
      <c r="DU55" s="4"/>
      <c r="DV55" s="4"/>
      <c r="DW55" s="4"/>
      <c r="DX55" s="4"/>
      <c r="DY55" s="4"/>
      <c r="DZ55" s="4"/>
      <c r="EA55" s="4"/>
      <c r="EB55" s="4"/>
      <c r="EC55" s="4"/>
      <c r="ED55" s="4"/>
      <c r="EE55" s="4"/>
      <c r="EF55" s="4"/>
      <c r="EG55" s="4"/>
      <c r="EH55" s="4"/>
      <c r="EI55" s="4"/>
      <c r="EJ55" s="4"/>
      <c r="EK55" s="4"/>
      <c r="EL55" s="4"/>
      <c r="EM55" s="4"/>
      <c r="EN55" s="4"/>
      <c r="EO55" s="4"/>
      <c r="EP55" s="4"/>
      <c r="EQ55" s="4"/>
      <c r="ER55" s="4"/>
      <c r="ES55" s="4"/>
      <c r="ET55" s="4"/>
      <c r="EU55" s="4"/>
      <c r="EV55" s="4"/>
      <c r="EW55" s="4"/>
      <c r="EX55" s="4"/>
      <c r="EY55" s="4"/>
      <c r="EZ55" s="4"/>
      <c r="FA55" s="4"/>
      <c r="FB55" s="4"/>
      <c r="FC55" s="4"/>
      <c r="FD55" s="4"/>
      <c r="FE55" s="4"/>
      <c r="FF55" s="4"/>
      <c r="FG55" s="4"/>
      <c r="FH55" s="4"/>
      <c r="FI55" s="4"/>
      <c r="FJ55" s="4"/>
      <c r="FK55" s="4"/>
      <c r="FL55" s="4"/>
      <c r="FM55" s="4"/>
      <c r="FN55" s="4"/>
      <c r="FO55" s="4"/>
      <c r="FP55" s="4"/>
      <c r="FQ55" s="4"/>
      <c r="FR55" s="4"/>
      <c r="FS55" s="4"/>
      <c r="FT55" s="4"/>
      <c r="FU55" s="4"/>
      <c r="FV55" s="4"/>
      <c r="FW55" s="4"/>
      <c r="FX55" s="4"/>
      <c r="FY55" s="4"/>
      <c r="FZ55" s="4"/>
      <c r="GA55" s="4"/>
      <c r="GB55" s="4"/>
      <c r="GC55" s="4"/>
      <c r="GD55" s="4"/>
      <c r="GE55" s="4"/>
      <c r="GF55" s="4"/>
      <c r="GG55" s="4"/>
    </row>
    <row r="56" spans="1:189" outlineLevel="3">
      <c r="A56" s="110"/>
      <c r="B56" s="110"/>
      <c r="C56" s="110">
        <v>4</v>
      </c>
      <c r="D56" s="3" t="s">
        <v>1053</v>
      </c>
      <c r="E56" s="175"/>
      <c r="F56" s="175"/>
      <c r="G56" s="175"/>
      <c r="H56" s="175" t="s">
        <v>1054</v>
      </c>
      <c r="I56" s="175"/>
      <c r="J56" s="175"/>
      <c r="K56" s="175"/>
      <c r="L56" s="175"/>
      <c r="M56" s="176">
        <v>43504</v>
      </c>
      <c r="N56" s="176">
        <v>43504</v>
      </c>
      <c r="O56" s="175"/>
      <c r="P56" s="177">
        <v>1</v>
      </c>
      <c r="Q56" s="177">
        <v>0</v>
      </c>
      <c r="R56" s="178">
        <v>1</v>
      </c>
      <c r="S56" s="178">
        <v>0</v>
      </c>
      <c r="T56" s="176"/>
      <c r="U56" s="176"/>
      <c r="V56" s="179"/>
      <c r="W56" s="180">
        <v>0</v>
      </c>
      <c r="X56" s="181">
        <v>1</v>
      </c>
      <c r="Y56" s="175" t="s">
        <v>1022</v>
      </c>
      <c r="Z56" s="182"/>
      <c r="AA56" s="94">
        <v>0</v>
      </c>
      <c r="AB56" s="183">
        <v>0</v>
      </c>
      <c r="AC56" s="116"/>
      <c r="AD56" s="4"/>
      <c r="AE56" s="4"/>
      <c r="AF56" s="4"/>
      <c r="AG56" s="4"/>
      <c r="AH56" s="4"/>
      <c r="AI56" s="4"/>
      <c r="AJ56" s="4"/>
      <c r="AK56" s="4"/>
      <c r="AL56" s="4"/>
      <c r="AM56" s="4"/>
      <c r="AN56" s="4"/>
      <c r="AO56" s="4"/>
      <c r="AP56" s="4"/>
      <c r="AQ56" s="4"/>
      <c r="AR56" s="4"/>
      <c r="AS56" s="4"/>
      <c r="AT56" s="4"/>
      <c r="AU56" s="4" t="str">
        <f>"     " &amp; TEXT(AB56,"#0.00%") &amp; " " &amp; "시스템오픈" &amp; "(김프로)" &amp; " " &amp; IF(M56="","",TEXT(M56,"M/D-")) &amp; IF(N56="","",TEXT(N56,"M/D")) &amp; " "</f>
        <v xml:space="preserve">     0.00% 시스템오픈(김프로) 2/8-2/8 </v>
      </c>
      <c r="AV56" s="4"/>
      <c r="AW56" s="4"/>
      <c r="AX56" s="4"/>
      <c r="AY56" s="4"/>
      <c r="AZ56" s="4"/>
      <c r="BA56" s="4"/>
      <c r="BB56" s="4"/>
      <c r="BC56" s="4"/>
      <c r="BD56" s="4"/>
      <c r="BE56" s="4"/>
      <c r="BF56" s="4"/>
      <c r="BG56" s="4"/>
      <c r="BH56" s="4"/>
      <c r="BI56" s="4"/>
      <c r="BJ56" s="4"/>
      <c r="BK56" s="4"/>
      <c r="BL56" s="4"/>
      <c r="BM56" s="4"/>
      <c r="BN56" s="4"/>
      <c r="BO56" s="4"/>
      <c r="BP56" s="4"/>
      <c r="BQ56" s="4"/>
      <c r="BR56" s="4"/>
      <c r="BS56" s="4"/>
      <c r="BT56" s="4"/>
      <c r="BU56" s="4"/>
      <c r="BV56" s="4"/>
      <c r="BW56" s="4"/>
      <c r="BX56" s="4"/>
      <c r="BY56" s="4"/>
      <c r="BZ56" s="4"/>
      <c r="CA56" s="4"/>
      <c r="CB56" s="4"/>
      <c r="CC56" s="4"/>
      <c r="CD56" s="4"/>
      <c r="CE56" s="4"/>
      <c r="CF56" s="4"/>
      <c r="CG56" s="4"/>
      <c r="CH56" s="4"/>
      <c r="CI56" s="4"/>
      <c r="CJ56" s="4"/>
      <c r="CK56" s="4"/>
      <c r="CL56" s="4"/>
      <c r="CM56" s="4"/>
      <c r="CN56" s="4"/>
      <c r="CO56" s="4"/>
      <c r="CP56" s="4"/>
      <c r="CQ56" s="4"/>
      <c r="CR56" s="4"/>
      <c r="CS56" s="4"/>
      <c r="CT56" s="4"/>
      <c r="CU56" s="4"/>
      <c r="CV56" s="4"/>
      <c r="CW56" s="4"/>
      <c r="CX56" s="4"/>
      <c r="CY56" s="4"/>
      <c r="CZ56" s="4"/>
      <c r="DA56" s="4"/>
      <c r="DB56" s="4"/>
      <c r="DC56" s="4"/>
      <c r="DD56" s="4"/>
      <c r="DE56" s="4"/>
      <c r="DF56" s="4"/>
      <c r="DG56" s="4"/>
      <c r="DH56" s="4"/>
      <c r="DI56" s="4"/>
      <c r="DJ56" s="4"/>
      <c r="DK56" s="4"/>
      <c r="DL56" s="4"/>
      <c r="DM56" s="4"/>
      <c r="DN56" s="4"/>
      <c r="DO56" s="4"/>
      <c r="DP56" s="4"/>
      <c r="DQ56" s="4"/>
      <c r="DR56" s="4"/>
      <c r="DS56" s="4"/>
      <c r="DT56" s="4"/>
      <c r="DU56" s="4"/>
      <c r="DV56" s="4"/>
      <c r="DW56" s="4"/>
      <c r="DX56" s="4"/>
      <c r="DY56" s="4"/>
      <c r="DZ56" s="4"/>
      <c r="EA56" s="4"/>
      <c r="EB56" s="4"/>
      <c r="EC56" s="4"/>
      <c r="ED56" s="4"/>
      <c r="EE56" s="4"/>
      <c r="EF56" s="4"/>
      <c r="EG56" s="4"/>
      <c r="EH56" s="4"/>
      <c r="EI56" s="4"/>
      <c r="EJ56" s="4"/>
      <c r="EK56" s="4"/>
      <c r="EL56" s="4"/>
      <c r="EM56" s="4"/>
      <c r="EN56" s="4"/>
      <c r="EO56" s="4"/>
      <c r="EP56" s="4"/>
      <c r="EQ56" s="4"/>
      <c r="ER56" s="4"/>
      <c r="ES56" s="4"/>
      <c r="ET56" s="4"/>
      <c r="EU56" s="4"/>
      <c r="EV56" s="4"/>
      <c r="EW56" s="4"/>
      <c r="EX56" s="4"/>
      <c r="EY56" s="4"/>
      <c r="EZ56" s="4"/>
      <c r="FA56" s="4"/>
      <c r="FB56" s="4"/>
      <c r="FC56" s="4"/>
      <c r="FD56" s="4"/>
      <c r="FE56" s="4"/>
      <c r="FF56" s="4"/>
      <c r="FG56" s="4"/>
      <c r="FH56" s="4"/>
      <c r="FI56" s="4"/>
      <c r="FJ56" s="4"/>
      <c r="FK56" s="4"/>
      <c r="FL56" s="4"/>
      <c r="FM56" s="4"/>
      <c r="FN56" s="4"/>
      <c r="FO56" s="4"/>
      <c r="FP56" s="4"/>
      <c r="FQ56" s="4"/>
      <c r="FR56" s="4"/>
      <c r="FS56" s="4"/>
      <c r="FT56" s="4"/>
      <c r="FU56" s="4"/>
      <c r="FV56" s="4"/>
      <c r="FW56" s="4"/>
      <c r="FX56" s="4"/>
      <c r="FY56" s="4"/>
      <c r="FZ56" s="4"/>
      <c r="GA56" s="4"/>
      <c r="GB56" s="4"/>
      <c r="GC56" s="4"/>
      <c r="GD56" s="4"/>
      <c r="GE56" s="4"/>
      <c r="GF56" s="4"/>
      <c r="GG56" s="4"/>
    </row>
    <row r="57" spans="1:189">
      <c r="A57" s="184"/>
      <c r="B57" s="184"/>
      <c r="C57" s="184"/>
      <c r="D57" s="185"/>
      <c r="E57" s="186"/>
      <c r="F57" s="186"/>
      <c r="G57" s="186"/>
      <c r="H57" s="186"/>
      <c r="I57" s="186"/>
      <c r="J57" s="186"/>
      <c r="K57" s="186"/>
      <c r="L57" s="186"/>
      <c r="M57" s="187"/>
      <c r="N57" s="187"/>
      <c r="O57" s="186"/>
      <c r="P57" s="188"/>
      <c r="Q57" s="188"/>
      <c r="R57" s="189"/>
      <c r="S57" s="189"/>
      <c r="T57" s="187"/>
      <c r="U57" s="187"/>
      <c r="V57" s="190"/>
      <c r="W57" s="191"/>
      <c r="X57" s="192"/>
      <c r="Y57" s="186"/>
      <c r="Z57" s="193"/>
      <c r="AA57" s="194"/>
      <c r="AB57" s="195"/>
      <c r="AC57" s="173"/>
      <c r="AD57" s="173"/>
      <c r="AE57" s="173"/>
      <c r="AF57" s="173"/>
      <c r="AG57" s="173"/>
      <c r="AH57" s="173"/>
      <c r="AI57" s="173"/>
      <c r="AJ57" s="173"/>
      <c r="AK57" s="173"/>
      <c r="AL57" s="173"/>
      <c r="AM57" s="173"/>
      <c r="AN57" s="173"/>
      <c r="AO57" s="173"/>
      <c r="AP57" s="173"/>
      <c r="AQ57" s="173"/>
      <c r="AR57" s="173"/>
      <c r="AS57" s="173"/>
      <c r="AT57" s="173"/>
      <c r="AU57" s="173"/>
      <c r="AV57" s="173"/>
      <c r="AW57" s="173"/>
      <c r="AX57" s="173"/>
      <c r="AY57" s="173"/>
      <c r="AZ57" s="173"/>
      <c r="BA57" s="173"/>
      <c r="BB57" s="173"/>
      <c r="BC57" s="173"/>
      <c r="BD57" s="173"/>
      <c r="BE57" s="173"/>
      <c r="BF57" s="173"/>
      <c r="BG57" s="173"/>
      <c r="BH57" s="173"/>
      <c r="BI57" s="173"/>
      <c r="BJ57" s="173"/>
      <c r="BK57" s="173"/>
      <c r="BL57" s="173"/>
      <c r="BM57" s="173"/>
      <c r="BN57" s="173"/>
      <c r="BO57" s="173"/>
      <c r="BP57" s="173"/>
      <c r="BQ57" s="173"/>
      <c r="BR57" s="173"/>
      <c r="BS57" s="173"/>
      <c r="BT57" s="173"/>
      <c r="BU57" s="173"/>
      <c r="BV57" s="173"/>
      <c r="BW57" s="173"/>
      <c r="BX57" s="173"/>
      <c r="BY57" s="173"/>
      <c r="BZ57" s="173"/>
      <c r="CA57" s="173"/>
      <c r="CB57" s="173"/>
      <c r="CC57" s="173"/>
      <c r="CD57" s="173"/>
      <c r="CE57" s="173"/>
      <c r="CF57" s="173"/>
      <c r="CG57" s="173"/>
      <c r="CH57" s="173"/>
      <c r="CI57" s="173"/>
      <c r="CJ57" s="173"/>
      <c r="CK57" s="173"/>
      <c r="CL57" s="173"/>
      <c r="CM57" s="173"/>
      <c r="CN57" s="173"/>
      <c r="CO57" s="173"/>
      <c r="CP57" s="173"/>
      <c r="CQ57" s="173"/>
      <c r="CR57" s="173"/>
      <c r="CS57" s="173"/>
      <c r="CT57" s="173"/>
      <c r="CU57" s="173"/>
      <c r="CV57" s="173"/>
      <c r="CW57" s="173"/>
      <c r="CX57" s="173"/>
      <c r="CY57" s="173"/>
      <c r="CZ57" s="173"/>
      <c r="DA57" s="173"/>
      <c r="DB57" s="173"/>
      <c r="DC57" s="173"/>
      <c r="DD57" s="173"/>
      <c r="DE57" s="173"/>
      <c r="DF57" s="173"/>
      <c r="DG57" s="173"/>
      <c r="DH57" s="173"/>
      <c r="DI57" s="173"/>
      <c r="DJ57" s="173"/>
      <c r="DK57" s="173"/>
      <c r="DL57" s="173"/>
      <c r="DM57" s="173"/>
      <c r="DN57" s="173"/>
      <c r="DO57" s="173"/>
      <c r="DP57" s="173"/>
      <c r="DQ57" s="173"/>
      <c r="DR57" s="173"/>
      <c r="DS57" s="173"/>
      <c r="DT57" s="173"/>
      <c r="DU57" s="173"/>
      <c r="DV57" s="173"/>
      <c r="DW57" s="173"/>
      <c r="DX57" s="173"/>
      <c r="DY57" s="173"/>
      <c r="DZ57" s="173"/>
      <c r="EA57" s="173"/>
      <c r="EB57" s="173"/>
      <c r="EC57" s="173"/>
      <c r="ED57" s="173"/>
      <c r="EE57" s="173"/>
      <c r="EF57" s="173"/>
      <c r="EG57" s="173"/>
      <c r="EH57" s="173"/>
      <c r="EI57" s="173"/>
      <c r="EJ57" s="173"/>
      <c r="EK57" s="173"/>
      <c r="EL57" s="173"/>
      <c r="EM57" s="173"/>
      <c r="EN57" s="173"/>
      <c r="EO57" s="173"/>
      <c r="EP57" s="173"/>
      <c r="EQ57" s="173"/>
      <c r="ER57" s="173"/>
      <c r="ES57" s="173"/>
      <c r="ET57" s="173"/>
      <c r="EU57" s="173"/>
      <c r="EV57" s="173"/>
      <c r="EW57" s="173"/>
      <c r="EX57" s="173"/>
      <c r="EY57" s="173"/>
      <c r="EZ57" s="173"/>
      <c r="FA57" s="173"/>
      <c r="FB57" s="173"/>
      <c r="FC57" s="173"/>
      <c r="FD57" s="173"/>
      <c r="FE57" s="173"/>
      <c r="FF57" s="173"/>
      <c r="FG57" s="173"/>
      <c r="FH57" s="173"/>
      <c r="FI57" s="173"/>
      <c r="FJ57" s="173"/>
      <c r="FK57" s="173"/>
      <c r="FL57" s="173"/>
      <c r="FM57" s="173"/>
      <c r="FN57" s="173"/>
      <c r="FO57" s="173"/>
      <c r="FP57" s="173"/>
      <c r="FQ57" s="173"/>
      <c r="FR57" s="173"/>
      <c r="FS57" s="173"/>
      <c r="FT57" s="173"/>
      <c r="FU57" s="173"/>
      <c r="FV57" s="173"/>
      <c r="FW57" s="173"/>
      <c r="FX57" s="173"/>
      <c r="FY57" s="173"/>
      <c r="FZ57" s="173"/>
      <c r="GA57" s="173"/>
      <c r="GB57" s="173"/>
      <c r="GC57" s="173"/>
      <c r="GD57" s="173"/>
      <c r="GE57" s="173"/>
      <c r="GF57" s="173"/>
      <c r="GG57" s="173"/>
    </row>
    <row r="58" spans="1:189">
      <c r="A58" s="110"/>
      <c r="B58" s="110"/>
      <c r="C58" s="110"/>
      <c r="D58" s="3"/>
      <c r="E58" s="175"/>
      <c r="F58" s="175"/>
      <c r="G58" s="175"/>
      <c r="H58" s="175"/>
      <c r="I58" s="175"/>
      <c r="J58" s="175"/>
      <c r="K58" s="175"/>
      <c r="L58" s="175"/>
      <c r="M58" s="176"/>
      <c r="N58" s="176"/>
      <c r="O58" s="175"/>
      <c r="P58" s="177"/>
      <c r="Q58" s="177"/>
      <c r="R58" s="178"/>
      <c r="S58" s="178"/>
      <c r="T58" s="176"/>
      <c r="U58" s="176"/>
      <c r="V58" s="179"/>
      <c r="W58" s="180"/>
      <c r="X58" s="181"/>
      <c r="Y58" s="175"/>
      <c r="Z58" s="182"/>
      <c r="AA58" s="94"/>
      <c r="AB58" s="183"/>
    </row>
    <row r="59" spans="1:189">
      <c r="A59" s="110"/>
      <c r="B59" s="110"/>
      <c r="C59" s="110"/>
      <c r="D59" s="3"/>
      <c r="E59" s="175"/>
      <c r="F59" s="175"/>
      <c r="G59" s="175"/>
      <c r="H59" s="175"/>
      <c r="I59" s="175"/>
      <c r="J59" s="175"/>
      <c r="K59" s="175"/>
      <c r="L59" s="175"/>
      <c r="M59" s="176"/>
      <c r="N59" s="176"/>
      <c r="O59" s="175"/>
      <c r="P59" s="177"/>
      <c r="Q59" s="177"/>
      <c r="R59" s="178"/>
      <c r="S59" s="178"/>
      <c r="T59" s="176"/>
      <c r="U59" s="176"/>
      <c r="V59" s="179"/>
      <c r="W59" s="180"/>
      <c r="X59" s="181"/>
      <c r="Y59" s="175"/>
      <c r="Z59" s="182"/>
      <c r="AA59" s="94"/>
      <c r="AB59" s="183"/>
    </row>
    <row r="60" spans="1:189">
      <c r="A60" s="110"/>
      <c r="B60" s="110"/>
      <c r="C60" s="110"/>
      <c r="D60" s="3"/>
      <c r="E60" s="175"/>
      <c r="F60" s="175"/>
      <c r="G60" s="175"/>
      <c r="H60" s="175"/>
      <c r="I60" s="175"/>
      <c r="J60" s="175"/>
      <c r="K60" s="175"/>
      <c r="L60" s="175"/>
      <c r="M60" s="176"/>
      <c r="N60" s="176"/>
      <c r="O60" s="175"/>
      <c r="P60" s="177"/>
      <c r="Q60" s="177"/>
      <c r="R60" s="178"/>
      <c r="S60" s="178"/>
      <c r="T60" s="176"/>
      <c r="U60" s="176"/>
      <c r="V60" s="179"/>
      <c r="W60" s="180"/>
      <c r="X60" s="181"/>
      <c r="Y60" s="175"/>
      <c r="Z60" s="182"/>
      <c r="AA60" s="94"/>
      <c r="AB60" s="183"/>
    </row>
    <row r="61" spans="1:189">
      <c r="A61" s="110"/>
      <c r="B61" s="110"/>
      <c r="C61" s="110"/>
      <c r="D61" s="3"/>
      <c r="E61" s="175"/>
      <c r="F61" s="175"/>
      <c r="G61" s="175"/>
      <c r="H61" s="175"/>
      <c r="I61" s="175"/>
      <c r="J61" s="175"/>
      <c r="K61" s="175"/>
      <c r="L61" s="175"/>
      <c r="M61" s="176"/>
      <c r="N61" s="176"/>
      <c r="O61" s="175"/>
      <c r="P61" s="177"/>
      <c r="Q61" s="177"/>
      <c r="R61" s="178"/>
      <c r="S61" s="178"/>
      <c r="T61" s="176"/>
      <c r="U61" s="176"/>
      <c r="V61" s="179"/>
      <c r="W61" s="180"/>
      <c r="X61" s="181"/>
      <c r="Y61" s="175"/>
      <c r="Z61" s="182"/>
      <c r="AA61" s="94"/>
      <c r="AB61" s="183"/>
    </row>
    <row r="62" spans="1:189">
      <c r="A62" s="110"/>
      <c r="B62" s="110"/>
      <c r="C62" s="110"/>
      <c r="D62" s="3"/>
      <c r="E62" s="175"/>
      <c r="F62" s="175"/>
      <c r="G62" s="175"/>
      <c r="H62" s="175"/>
      <c r="I62" s="175"/>
      <c r="J62" s="175"/>
      <c r="K62" s="175"/>
      <c r="L62" s="175"/>
      <c r="M62" s="176"/>
      <c r="N62" s="176"/>
      <c r="O62" s="175"/>
      <c r="P62" s="177"/>
      <c r="Q62" s="177"/>
      <c r="R62" s="178"/>
      <c r="S62" s="178"/>
      <c r="T62" s="176"/>
      <c r="U62" s="176"/>
      <c r="V62" s="179"/>
      <c r="W62" s="180"/>
      <c r="X62" s="181"/>
      <c r="Y62" s="175"/>
      <c r="Z62" s="182"/>
      <c r="AA62" s="94"/>
      <c r="AB62" s="183"/>
    </row>
    <row r="63" spans="1:189">
      <c r="A63" s="110"/>
      <c r="B63" s="110"/>
      <c r="C63" s="110"/>
      <c r="D63" s="3"/>
      <c r="E63" s="175"/>
      <c r="F63" s="175"/>
      <c r="G63" s="175"/>
      <c r="H63" s="175"/>
      <c r="I63" s="175"/>
      <c r="J63" s="175"/>
      <c r="K63" s="175"/>
      <c r="L63" s="175"/>
      <c r="M63" s="176"/>
      <c r="N63" s="176"/>
      <c r="O63" s="175"/>
      <c r="P63" s="177"/>
      <c r="Q63" s="177"/>
      <c r="R63" s="178"/>
      <c r="S63" s="178"/>
      <c r="T63" s="176"/>
      <c r="U63" s="176"/>
      <c r="V63" s="179"/>
      <c r="W63" s="180"/>
      <c r="X63" s="181"/>
      <c r="Y63" s="175"/>
      <c r="Z63" s="182"/>
      <c r="AA63" s="94"/>
      <c r="AB63" s="183"/>
    </row>
    <row r="64" spans="1:189">
      <c r="A64" s="110"/>
      <c r="B64" s="110"/>
      <c r="C64" s="110"/>
      <c r="D64" s="3"/>
      <c r="E64" s="175"/>
      <c r="F64" s="175"/>
      <c r="G64" s="175"/>
      <c r="H64" s="175"/>
      <c r="I64" s="175"/>
      <c r="J64" s="175"/>
      <c r="K64" s="175"/>
      <c r="L64" s="175"/>
      <c r="M64" s="176"/>
      <c r="N64" s="176"/>
      <c r="O64" s="175"/>
      <c r="P64" s="177"/>
      <c r="Q64" s="177"/>
      <c r="R64" s="178"/>
      <c r="S64" s="178"/>
      <c r="T64" s="176"/>
      <c r="U64" s="176"/>
      <c r="V64" s="179"/>
      <c r="W64" s="180"/>
      <c r="X64" s="181"/>
      <c r="Y64" s="175"/>
      <c r="Z64" s="182"/>
      <c r="AA64" s="94"/>
      <c r="AB64" s="183"/>
    </row>
    <row r="65" spans="1:28">
      <c r="A65" s="110"/>
      <c r="B65" s="110"/>
      <c r="C65" s="110"/>
      <c r="D65" s="3"/>
      <c r="E65" s="175"/>
      <c r="F65" s="175"/>
      <c r="G65" s="175"/>
      <c r="H65" s="175"/>
      <c r="I65" s="175"/>
      <c r="J65" s="175"/>
      <c r="K65" s="175"/>
      <c r="L65" s="175"/>
      <c r="M65" s="176"/>
      <c r="N65" s="176"/>
      <c r="O65" s="175"/>
      <c r="P65" s="177"/>
      <c r="Q65" s="177"/>
      <c r="R65" s="178"/>
      <c r="S65" s="178"/>
      <c r="T65" s="176"/>
      <c r="U65" s="176"/>
      <c r="V65" s="179"/>
      <c r="W65" s="180"/>
      <c r="X65" s="181"/>
      <c r="Y65" s="175"/>
      <c r="Z65" s="182"/>
      <c r="AA65" s="94"/>
      <c r="AB65" s="183"/>
    </row>
    <row r="66" spans="1:28">
      <c r="A66" s="110"/>
      <c r="B66" s="110"/>
      <c r="C66" s="110"/>
      <c r="D66" s="3"/>
      <c r="E66" s="175"/>
      <c r="F66" s="175"/>
      <c r="G66" s="175"/>
      <c r="H66" s="175"/>
      <c r="I66" s="175"/>
      <c r="J66" s="175"/>
      <c r="K66" s="175"/>
      <c r="L66" s="175"/>
      <c r="M66" s="176"/>
      <c r="N66" s="176"/>
      <c r="O66" s="175"/>
      <c r="P66" s="177"/>
      <c r="Q66" s="177"/>
      <c r="R66" s="178"/>
      <c r="S66" s="178"/>
      <c r="T66" s="176"/>
      <c r="U66" s="176"/>
      <c r="V66" s="179"/>
      <c r="W66" s="180"/>
      <c r="X66" s="181"/>
      <c r="Y66" s="175"/>
      <c r="Z66" s="182"/>
      <c r="AA66" s="94"/>
      <c r="AB66" s="183"/>
    </row>
    <row r="67" spans="1:28">
      <c r="A67" s="110"/>
      <c r="B67" s="110"/>
      <c r="C67" s="110"/>
      <c r="D67" s="3"/>
      <c r="E67" s="175"/>
      <c r="F67" s="175"/>
      <c r="G67" s="175"/>
      <c r="H67" s="175"/>
      <c r="I67" s="175"/>
      <c r="J67" s="175"/>
      <c r="K67" s="175"/>
      <c r="L67" s="175"/>
      <c r="M67" s="176"/>
      <c r="N67" s="176"/>
      <c r="O67" s="175"/>
      <c r="P67" s="177"/>
      <c r="Q67" s="177"/>
      <c r="R67" s="178"/>
      <c r="S67" s="178"/>
      <c r="T67" s="176"/>
      <c r="U67" s="176"/>
      <c r="V67" s="179"/>
      <c r="W67" s="180"/>
      <c r="X67" s="181"/>
      <c r="Y67" s="175"/>
      <c r="Z67" s="182"/>
      <c r="AA67" s="94"/>
      <c r="AB67" s="183"/>
    </row>
    <row r="68" spans="1:28">
      <c r="A68" s="110"/>
      <c r="B68" s="110"/>
      <c r="C68" s="110"/>
      <c r="D68" s="3"/>
      <c r="E68" s="175"/>
      <c r="F68" s="175"/>
      <c r="G68" s="175"/>
      <c r="H68" s="175"/>
      <c r="I68" s="175"/>
      <c r="J68" s="175"/>
      <c r="K68" s="175"/>
      <c r="L68" s="175"/>
      <c r="M68" s="176"/>
      <c r="N68" s="176"/>
      <c r="O68" s="175"/>
      <c r="P68" s="177"/>
      <c r="Q68" s="177"/>
      <c r="R68" s="178"/>
      <c r="S68" s="178"/>
      <c r="T68" s="176"/>
      <c r="U68" s="176"/>
      <c r="V68" s="179"/>
      <c r="W68" s="180"/>
      <c r="X68" s="181"/>
      <c r="Y68" s="175"/>
      <c r="Z68" s="182"/>
      <c r="AA68" s="94"/>
      <c r="AB68" s="183"/>
    </row>
    <row r="69" spans="1:28">
      <c r="A69" s="110"/>
      <c r="B69" s="110"/>
      <c r="C69" s="110"/>
      <c r="D69" s="3"/>
      <c r="E69" s="175"/>
      <c r="F69" s="175"/>
      <c r="G69" s="175"/>
      <c r="H69" s="175"/>
      <c r="I69" s="175"/>
      <c r="J69" s="175"/>
      <c r="K69" s="175"/>
      <c r="L69" s="175"/>
      <c r="M69" s="176"/>
      <c r="N69" s="176"/>
      <c r="O69" s="175"/>
      <c r="P69" s="177"/>
      <c r="Q69" s="177"/>
      <c r="R69" s="178"/>
      <c r="S69" s="178"/>
      <c r="T69" s="176"/>
      <c r="U69" s="176"/>
      <c r="V69" s="179"/>
      <c r="W69" s="180"/>
      <c r="X69" s="181"/>
      <c r="Y69" s="175"/>
      <c r="Z69" s="182"/>
      <c r="AA69" s="94"/>
      <c r="AB69" s="183"/>
    </row>
    <row r="70" spans="1:28">
      <c r="A70" s="110"/>
      <c r="B70" s="110"/>
      <c r="C70" s="110"/>
      <c r="D70" s="3"/>
      <c r="E70" s="175"/>
      <c r="F70" s="175"/>
      <c r="G70" s="175"/>
      <c r="H70" s="175"/>
      <c r="I70" s="175"/>
      <c r="J70" s="175"/>
      <c r="K70" s="175"/>
      <c r="L70" s="175"/>
      <c r="M70" s="176"/>
      <c r="N70" s="176"/>
      <c r="O70" s="175"/>
      <c r="P70" s="177"/>
      <c r="Q70" s="177"/>
      <c r="R70" s="178"/>
      <c r="S70" s="178"/>
      <c r="T70" s="176"/>
      <c r="U70" s="176"/>
      <c r="V70" s="179"/>
      <c r="W70" s="180"/>
      <c r="X70" s="181"/>
      <c r="Y70" s="175"/>
      <c r="Z70" s="182"/>
      <c r="AA70" s="94"/>
      <c r="AB70" s="183"/>
    </row>
    <row r="71" spans="1:28">
      <c r="A71" s="110"/>
      <c r="B71" s="110"/>
      <c r="C71" s="110"/>
      <c r="D71" s="3"/>
      <c r="E71" s="175"/>
      <c r="F71" s="175"/>
      <c r="G71" s="175"/>
      <c r="H71" s="175"/>
      <c r="I71" s="175"/>
      <c r="J71" s="175"/>
      <c r="K71" s="175"/>
      <c r="L71" s="175"/>
      <c r="M71" s="176"/>
      <c r="N71" s="176"/>
      <c r="O71" s="175"/>
      <c r="P71" s="177"/>
      <c r="Q71" s="177"/>
      <c r="R71" s="178"/>
      <c r="S71" s="178"/>
      <c r="T71" s="176"/>
      <c r="U71" s="176"/>
      <c r="V71" s="179"/>
      <c r="W71" s="180"/>
      <c r="X71" s="181"/>
      <c r="Y71" s="175"/>
      <c r="Z71" s="182"/>
      <c r="AA71" s="94"/>
      <c r="AB71" s="183"/>
    </row>
    <row r="72" spans="1:28">
      <c r="A72" s="110"/>
      <c r="B72" s="110"/>
      <c r="C72" s="110"/>
      <c r="D72" s="3"/>
      <c r="E72" s="175"/>
      <c r="F72" s="175"/>
      <c r="G72" s="175"/>
      <c r="H72" s="175"/>
      <c r="I72" s="175"/>
      <c r="J72" s="175"/>
      <c r="K72" s="175"/>
      <c r="L72" s="175"/>
      <c r="M72" s="176"/>
      <c r="N72" s="176"/>
      <c r="O72" s="175"/>
      <c r="P72" s="177"/>
      <c r="Q72" s="177"/>
      <c r="R72" s="178"/>
      <c r="S72" s="178"/>
      <c r="T72" s="176"/>
      <c r="U72" s="176"/>
      <c r="V72" s="179"/>
      <c r="W72" s="180"/>
      <c r="X72" s="181"/>
      <c r="Y72" s="175"/>
      <c r="Z72" s="182"/>
      <c r="AA72" s="94"/>
      <c r="AB72" s="183"/>
    </row>
    <row r="73" spans="1:28">
      <c r="A73" s="110"/>
      <c r="B73" s="110"/>
      <c r="C73" s="110"/>
      <c r="D73" s="3"/>
      <c r="E73" s="175"/>
      <c r="F73" s="175"/>
      <c r="G73" s="175"/>
      <c r="H73" s="175"/>
      <c r="I73" s="175"/>
      <c r="J73" s="175"/>
      <c r="K73" s="175"/>
      <c r="L73" s="175"/>
      <c r="M73" s="176"/>
      <c r="N73" s="176"/>
      <c r="O73" s="175"/>
      <c r="P73" s="177"/>
      <c r="Q73" s="177"/>
      <c r="R73" s="178"/>
      <c r="S73" s="178"/>
      <c r="T73" s="176"/>
      <c r="U73" s="176"/>
      <c r="V73" s="179"/>
      <c r="W73" s="180"/>
      <c r="X73" s="181"/>
      <c r="Y73" s="175"/>
      <c r="Z73" s="182"/>
      <c r="AA73" s="94"/>
      <c r="AB73" s="183"/>
    </row>
    <row r="74" spans="1:28">
      <c r="A74" s="110"/>
      <c r="B74" s="110"/>
      <c r="C74" s="110"/>
      <c r="D74" s="3"/>
      <c r="E74" s="175"/>
      <c r="F74" s="175"/>
      <c r="G74" s="175"/>
      <c r="H74" s="175"/>
      <c r="I74" s="175"/>
      <c r="J74" s="175"/>
      <c r="K74" s="175"/>
      <c r="L74" s="175"/>
      <c r="M74" s="176"/>
      <c r="N74" s="176"/>
      <c r="O74" s="175"/>
      <c r="P74" s="177"/>
      <c r="Q74" s="177"/>
      <c r="R74" s="178"/>
      <c r="S74" s="178"/>
      <c r="T74" s="176"/>
      <c r="U74" s="176"/>
      <c r="V74" s="179"/>
      <c r="W74" s="180"/>
      <c r="X74" s="181"/>
      <c r="Y74" s="175"/>
      <c r="Z74" s="182"/>
      <c r="AA74" s="94"/>
      <c r="AB74" s="183"/>
    </row>
    <row r="75" spans="1:28">
      <c r="A75" s="110"/>
      <c r="B75" s="110"/>
      <c r="C75" s="110"/>
      <c r="D75" s="3"/>
      <c r="E75" s="175"/>
      <c r="F75" s="175"/>
      <c r="G75" s="175"/>
      <c r="H75" s="175"/>
      <c r="I75" s="175"/>
      <c r="J75" s="175"/>
      <c r="K75" s="175"/>
      <c r="L75" s="175"/>
      <c r="M75" s="176"/>
      <c r="N75" s="176"/>
      <c r="O75" s="175"/>
      <c r="P75" s="177"/>
      <c r="Q75" s="177"/>
      <c r="R75" s="178"/>
      <c r="S75" s="178"/>
      <c r="T75" s="176"/>
      <c r="U75" s="176"/>
      <c r="V75" s="179"/>
      <c r="W75" s="180"/>
      <c r="X75" s="181"/>
      <c r="Y75" s="175"/>
      <c r="Z75" s="182"/>
      <c r="AA75" s="94"/>
      <c r="AB75" s="183"/>
    </row>
    <row r="76" spans="1:28">
      <c r="A76" s="110"/>
      <c r="B76" s="110"/>
      <c r="C76" s="110"/>
      <c r="D76" s="3"/>
      <c r="E76" s="175"/>
      <c r="F76" s="175"/>
      <c r="G76" s="175"/>
      <c r="H76" s="175"/>
      <c r="I76" s="175"/>
      <c r="J76" s="175"/>
      <c r="K76" s="175"/>
      <c r="L76" s="175"/>
      <c r="M76" s="176"/>
      <c r="N76" s="176"/>
      <c r="O76" s="175"/>
      <c r="P76" s="177"/>
      <c r="Q76" s="177"/>
      <c r="R76" s="178"/>
      <c r="S76" s="178"/>
      <c r="T76" s="176"/>
      <c r="U76" s="176"/>
      <c r="V76" s="179"/>
      <c r="W76" s="180"/>
      <c r="X76" s="181"/>
      <c r="Y76" s="175"/>
      <c r="Z76" s="182"/>
      <c r="AA76" s="94"/>
      <c r="AB76" s="183"/>
    </row>
    <row r="77" spans="1:28">
      <c r="A77" s="110"/>
      <c r="B77" s="110"/>
      <c r="C77" s="110"/>
      <c r="D77" s="3"/>
      <c r="E77" s="175"/>
      <c r="F77" s="175"/>
      <c r="G77" s="175"/>
      <c r="H77" s="175"/>
      <c r="I77" s="175"/>
      <c r="J77" s="175"/>
      <c r="K77" s="175"/>
      <c r="L77" s="175"/>
      <c r="M77" s="176"/>
      <c r="N77" s="176"/>
      <c r="O77" s="175"/>
      <c r="P77" s="177"/>
      <c r="Q77" s="177"/>
      <c r="R77" s="178"/>
      <c r="S77" s="178"/>
      <c r="T77" s="176"/>
      <c r="U77" s="176"/>
      <c r="V77" s="179"/>
      <c r="W77" s="180"/>
      <c r="X77" s="181"/>
      <c r="Y77" s="175"/>
      <c r="Z77" s="182"/>
      <c r="AA77" s="94"/>
      <c r="AB77" s="183"/>
    </row>
    <row r="78" spans="1:28">
      <c r="A78" s="110"/>
      <c r="B78" s="110"/>
      <c r="C78" s="110"/>
      <c r="D78" s="3"/>
      <c r="E78" s="175"/>
      <c r="F78" s="175"/>
      <c r="G78" s="175"/>
      <c r="H78" s="175"/>
      <c r="I78" s="175"/>
      <c r="J78" s="175"/>
      <c r="K78" s="175"/>
      <c r="L78" s="175"/>
      <c r="M78" s="176"/>
      <c r="N78" s="176"/>
      <c r="O78" s="175"/>
      <c r="P78" s="177"/>
      <c r="Q78" s="177"/>
      <c r="R78" s="178"/>
      <c r="S78" s="178"/>
      <c r="T78" s="176"/>
      <c r="U78" s="176"/>
      <c r="V78" s="179"/>
      <c r="W78" s="180"/>
      <c r="X78" s="181"/>
      <c r="Y78" s="175"/>
      <c r="Z78" s="182"/>
      <c r="AA78" s="94"/>
      <c r="AB78" s="183"/>
    </row>
    <row r="79" spans="1:28">
      <c r="A79" s="110"/>
      <c r="B79" s="110"/>
      <c r="C79" s="110"/>
      <c r="D79" s="3"/>
      <c r="E79" s="175"/>
      <c r="F79" s="175"/>
      <c r="G79" s="175"/>
      <c r="H79" s="175"/>
      <c r="I79" s="175"/>
      <c r="J79" s="175"/>
      <c r="K79" s="175"/>
      <c r="L79" s="175"/>
      <c r="M79" s="176"/>
      <c r="N79" s="176"/>
      <c r="O79" s="175"/>
      <c r="P79" s="177"/>
      <c r="Q79" s="177"/>
      <c r="R79" s="178"/>
      <c r="S79" s="178"/>
      <c r="T79" s="176"/>
      <c r="U79" s="176"/>
      <c r="V79" s="179"/>
      <c r="W79" s="180"/>
      <c r="X79" s="181"/>
      <c r="Y79" s="175"/>
      <c r="Z79" s="182"/>
      <c r="AA79" s="94"/>
      <c r="AB79" s="183"/>
    </row>
    <row r="80" spans="1:28">
      <c r="A80" s="110"/>
      <c r="B80" s="110"/>
      <c r="C80" s="110"/>
      <c r="D80" s="3"/>
      <c r="E80" s="175"/>
      <c r="F80" s="175"/>
      <c r="G80" s="175"/>
      <c r="H80" s="175"/>
      <c r="I80" s="175"/>
      <c r="J80" s="175"/>
      <c r="K80" s="175"/>
      <c r="L80" s="175"/>
      <c r="M80" s="176"/>
      <c r="N80" s="176"/>
      <c r="O80" s="175"/>
      <c r="P80" s="177"/>
      <c r="Q80" s="177"/>
      <c r="R80" s="178"/>
      <c r="S80" s="178"/>
      <c r="T80" s="176"/>
      <c r="U80" s="176"/>
      <c r="V80" s="179"/>
      <c r="W80" s="180"/>
      <c r="X80" s="181"/>
      <c r="Y80" s="175"/>
      <c r="Z80" s="182"/>
      <c r="AA80" s="94"/>
      <c r="AB80" s="183"/>
    </row>
    <row r="81" spans="1:28">
      <c r="A81" s="110"/>
      <c r="B81" s="110"/>
      <c r="C81" s="110"/>
      <c r="D81" s="3"/>
      <c r="E81" s="175"/>
      <c r="F81" s="175"/>
      <c r="G81" s="175"/>
      <c r="H81" s="175"/>
      <c r="I81" s="175"/>
      <c r="J81" s="175"/>
      <c r="K81" s="175"/>
      <c r="L81" s="175"/>
      <c r="M81" s="176"/>
      <c r="N81" s="176"/>
      <c r="O81" s="175"/>
      <c r="P81" s="177"/>
      <c r="Q81" s="177"/>
      <c r="R81" s="178"/>
      <c r="S81" s="178"/>
      <c r="T81" s="176"/>
      <c r="U81" s="176"/>
      <c r="V81" s="179"/>
      <c r="W81" s="180"/>
      <c r="X81" s="181"/>
      <c r="Y81" s="175"/>
      <c r="Z81" s="182"/>
      <c r="AA81" s="94"/>
      <c r="AB81" s="183"/>
    </row>
    <row r="82" spans="1:28">
      <c r="A82" s="110"/>
      <c r="B82" s="110"/>
      <c r="C82" s="110"/>
      <c r="D82" s="3"/>
      <c r="E82" s="175"/>
      <c r="F82" s="175"/>
      <c r="G82" s="175"/>
      <c r="H82" s="175"/>
      <c r="I82" s="175"/>
      <c r="J82" s="175"/>
      <c r="K82" s="175"/>
      <c r="L82" s="175"/>
      <c r="M82" s="176"/>
      <c r="N82" s="176"/>
      <c r="O82" s="175"/>
      <c r="P82" s="177"/>
      <c r="Q82" s="177"/>
      <c r="R82" s="178"/>
      <c r="S82" s="178"/>
      <c r="T82" s="176"/>
      <c r="U82" s="176"/>
      <c r="V82" s="179"/>
      <c r="W82" s="180"/>
      <c r="X82" s="181"/>
      <c r="Y82" s="175"/>
      <c r="Z82" s="182"/>
      <c r="AA82" s="94"/>
      <c r="AB82" s="183"/>
    </row>
    <row r="83" spans="1:28">
      <c r="A83" s="110"/>
      <c r="B83" s="110"/>
      <c r="C83" s="110"/>
      <c r="D83" s="3"/>
      <c r="E83" s="175"/>
      <c r="F83" s="175"/>
      <c r="G83" s="175"/>
      <c r="H83" s="175"/>
      <c r="I83" s="175"/>
      <c r="J83" s="175"/>
      <c r="K83" s="175"/>
      <c r="L83" s="175"/>
      <c r="M83" s="176"/>
      <c r="N83" s="176"/>
      <c r="O83" s="175"/>
      <c r="P83" s="177"/>
      <c r="Q83" s="177"/>
      <c r="R83" s="178"/>
      <c r="S83" s="178"/>
      <c r="T83" s="176"/>
      <c r="U83" s="176"/>
      <c r="V83" s="179"/>
      <c r="W83" s="180"/>
      <c r="X83" s="181"/>
      <c r="Y83" s="175"/>
      <c r="Z83" s="182"/>
      <c r="AA83" s="94"/>
      <c r="AB83" s="183"/>
    </row>
    <row r="84" spans="1:28">
      <c r="A84" s="110"/>
      <c r="B84" s="110"/>
      <c r="C84" s="110"/>
      <c r="D84" s="3"/>
      <c r="E84" s="175"/>
      <c r="F84" s="175"/>
      <c r="G84" s="175"/>
      <c r="H84" s="175"/>
      <c r="I84" s="175"/>
      <c r="J84" s="175"/>
      <c r="K84" s="175"/>
      <c r="L84" s="175"/>
      <c r="M84" s="176"/>
      <c r="N84" s="176"/>
      <c r="O84" s="175"/>
      <c r="P84" s="177"/>
      <c r="Q84" s="177"/>
      <c r="R84" s="178"/>
      <c r="S84" s="178"/>
      <c r="T84" s="176"/>
      <c r="U84" s="176"/>
      <c r="V84" s="179"/>
      <c r="W84" s="180"/>
      <c r="X84" s="181"/>
      <c r="Y84" s="175"/>
      <c r="Z84" s="182"/>
      <c r="AA84" s="94"/>
      <c r="AB84" s="183"/>
    </row>
    <row r="85" spans="1:28">
      <c r="A85" s="110"/>
      <c r="B85" s="110"/>
      <c r="C85" s="110"/>
      <c r="D85" s="3"/>
      <c r="E85" s="175"/>
      <c r="F85" s="175"/>
      <c r="G85" s="175"/>
      <c r="H85" s="175"/>
      <c r="I85" s="175"/>
      <c r="J85" s="175"/>
      <c r="K85" s="175"/>
      <c r="L85" s="175"/>
      <c r="M85" s="176"/>
      <c r="N85" s="176"/>
      <c r="O85" s="175"/>
      <c r="P85" s="177"/>
      <c r="Q85" s="177"/>
      <c r="R85" s="178"/>
      <c r="S85" s="178"/>
      <c r="T85" s="176"/>
      <c r="U85" s="176"/>
      <c r="V85" s="179"/>
      <c r="W85" s="180"/>
      <c r="X85" s="181"/>
      <c r="Y85" s="175"/>
      <c r="Z85" s="182"/>
      <c r="AA85" s="94"/>
      <c r="AB85" s="183"/>
    </row>
    <row r="86" spans="1:28">
      <c r="A86" s="110"/>
      <c r="B86" s="110"/>
      <c r="C86" s="110"/>
      <c r="D86" s="3"/>
      <c r="E86" s="175"/>
      <c r="F86" s="175"/>
      <c r="G86" s="175"/>
      <c r="H86" s="175"/>
      <c r="I86" s="175"/>
      <c r="J86" s="175"/>
      <c r="K86" s="175"/>
      <c r="L86" s="175"/>
      <c r="M86" s="176"/>
      <c r="N86" s="176"/>
      <c r="O86" s="175"/>
      <c r="P86" s="177"/>
      <c r="Q86" s="177"/>
      <c r="R86" s="178"/>
      <c r="S86" s="178"/>
      <c r="T86" s="176"/>
      <c r="U86" s="176"/>
      <c r="V86" s="179"/>
      <c r="W86" s="180"/>
      <c r="X86" s="181"/>
      <c r="Y86" s="175"/>
      <c r="Z86" s="182"/>
      <c r="AA86" s="94"/>
      <c r="AB86" s="183"/>
    </row>
    <row r="87" spans="1:28">
      <c r="A87" s="110"/>
      <c r="B87" s="110"/>
      <c r="C87" s="110"/>
      <c r="D87" s="3"/>
      <c r="E87" s="175"/>
      <c r="F87" s="175"/>
      <c r="G87" s="175"/>
      <c r="H87" s="175"/>
      <c r="I87" s="175"/>
      <c r="J87" s="175"/>
      <c r="K87" s="175"/>
      <c r="L87" s="175"/>
      <c r="M87" s="176"/>
      <c r="N87" s="176"/>
      <c r="O87" s="175"/>
      <c r="P87" s="177"/>
      <c r="Q87" s="177"/>
      <c r="R87" s="178"/>
      <c r="S87" s="178"/>
      <c r="T87" s="176"/>
      <c r="U87" s="176"/>
      <c r="V87" s="179"/>
      <c r="W87" s="180"/>
      <c r="X87" s="181"/>
      <c r="Y87" s="175"/>
      <c r="Z87" s="182"/>
      <c r="AA87" s="94"/>
      <c r="AB87" s="183"/>
    </row>
    <row r="88" spans="1:28">
      <c r="A88" s="110"/>
      <c r="B88" s="110"/>
      <c r="C88" s="110"/>
      <c r="D88" s="3"/>
      <c r="E88" s="175"/>
      <c r="F88" s="175"/>
      <c r="G88" s="175"/>
      <c r="H88" s="175"/>
      <c r="I88" s="175"/>
      <c r="J88" s="175"/>
      <c r="K88" s="175"/>
      <c r="L88" s="175"/>
      <c r="M88" s="176"/>
      <c r="N88" s="176"/>
      <c r="O88" s="175"/>
      <c r="P88" s="177"/>
      <c r="Q88" s="177"/>
      <c r="R88" s="178"/>
      <c r="S88" s="178"/>
      <c r="T88" s="176"/>
      <c r="U88" s="176"/>
      <c r="V88" s="179"/>
      <c r="W88" s="180"/>
      <c r="X88" s="181"/>
      <c r="Y88" s="175"/>
      <c r="Z88" s="182"/>
      <c r="AA88" s="94"/>
      <c r="AB88" s="183"/>
    </row>
    <row r="89" spans="1:28">
      <c r="A89" s="110"/>
      <c r="B89" s="110"/>
      <c r="C89" s="110"/>
      <c r="D89" s="196"/>
      <c r="E89" s="175"/>
      <c r="F89" s="175"/>
      <c r="G89" s="175"/>
      <c r="H89" s="175"/>
      <c r="I89" s="175"/>
      <c r="J89" s="175"/>
      <c r="K89" s="175"/>
      <c r="L89" s="175"/>
      <c r="M89" s="176"/>
      <c r="N89" s="176"/>
      <c r="O89" s="175"/>
      <c r="P89" s="177"/>
      <c r="Q89" s="177"/>
      <c r="R89" s="178"/>
      <c r="S89" s="178"/>
      <c r="T89" s="176"/>
      <c r="U89" s="176"/>
      <c r="V89" s="179"/>
      <c r="W89" s="180"/>
      <c r="X89" s="181"/>
      <c r="Y89" s="175"/>
      <c r="Z89" s="182"/>
      <c r="AA89" s="94"/>
      <c r="AB89" s="183"/>
    </row>
    <row r="90" spans="1:28">
      <c r="A90" s="110"/>
      <c r="B90" s="110"/>
      <c r="C90" s="110"/>
      <c r="D90" s="3"/>
      <c r="E90" s="175"/>
      <c r="F90" s="175"/>
      <c r="G90" s="175"/>
      <c r="H90" s="175"/>
      <c r="I90" s="175"/>
      <c r="J90" s="175"/>
      <c r="K90" s="175"/>
      <c r="L90" s="175"/>
      <c r="M90" s="176"/>
      <c r="N90" s="176"/>
      <c r="O90" s="175"/>
      <c r="P90" s="177"/>
      <c r="Q90" s="177"/>
      <c r="R90" s="178"/>
      <c r="S90" s="178"/>
      <c r="T90" s="176"/>
      <c r="U90" s="176"/>
      <c r="V90" s="179"/>
      <c r="W90" s="180"/>
      <c r="X90" s="181"/>
      <c r="Y90" s="175"/>
      <c r="Z90" s="182"/>
      <c r="AA90" s="94"/>
      <c r="AB90" s="183"/>
    </row>
    <row r="91" spans="1:28">
      <c r="A91" s="110"/>
      <c r="B91" s="110"/>
      <c r="C91" s="110"/>
      <c r="D91" s="3"/>
      <c r="E91" s="175"/>
      <c r="F91" s="175"/>
      <c r="G91" s="175"/>
      <c r="H91" s="175"/>
      <c r="I91" s="175"/>
      <c r="J91" s="175"/>
      <c r="K91" s="175"/>
      <c r="L91" s="175"/>
      <c r="M91" s="176"/>
      <c r="N91" s="176"/>
      <c r="O91" s="175"/>
      <c r="P91" s="177"/>
      <c r="Q91" s="177"/>
      <c r="R91" s="178"/>
      <c r="S91" s="178"/>
      <c r="T91" s="176"/>
      <c r="U91" s="176"/>
      <c r="V91" s="179"/>
      <c r="W91" s="180"/>
      <c r="X91" s="181"/>
      <c r="Y91" s="175"/>
      <c r="Z91" s="182"/>
      <c r="AA91" s="94"/>
      <c r="AB91" s="183"/>
    </row>
    <row r="92" spans="1:28">
      <c r="A92" s="110"/>
      <c r="B92" s="110"/>
      <c r="C92" s="110"/>
      <c r="D92" s="3"/>
      <c r="E92" s="175"/>
      <c r="F92" s="175"/>
      <c r="G92" s="175"/>
      <c r="H92" s="175"/>
      <c r="I92" s="175"/>
      <c r="J92" s="175"/>
      <c r="K92" s="175"/>
      <c r="L92" s="175"/>
      <c r="M92" s="176"/>
      <c r="N92" s="176"/>
      <c r="O92" s="175"/>
      <c r="P92" s="177"/>
      <c r="Q92" s="177"/>
      <c r="R92" s="178"/>
      <c r="S92" s="178"/>
      <c r="T92" s="176"/>
      <c r="U92" s="176"/>
      <c r="V92" s="179"/>
      <c r="W92" s="180"/>
      <c r="X92" s="181"/>
      <c r="Y92" s="175"/>
      <c r="Z92" s="182"/>
      <c r="AA92" s="94"/>
      <c r="AB92" s="183"/>
    </row>
    <row r="93" spans="1:28">
      <c r="A93" s="110"/>
      <c r="B93" s="110"/>
      <c r="C93" s="110"/>
      <c r="D93" s="3"/>
      <c r="E93" s="175"/>
      <c r="F93" s="175"/>
      <c r="G93" s="175"/>
      <c r="H93" s="175"/>
      <c r="I93" s="175"/>
      <c r="J93" s="175"/>
      <c r="K93" s="175"/>
      <c r="L93" s="175"/>
      <c r="M93" s="176"/>
      <c r="N93" s="176"/>
      <c r="O93" s="175"/>
      <c r="P93" s="177"/>
      <c r="Q93" s="177"/>
      <c r="R93" s="178"/>
      <c r="S93" s="178"/>
      <c r="T93" s="176"/>
      <c r="U93" s="176"/>
      <c r="V93" s="179"/>
      <c r="W93" s="180"/>
      <c r="X93" s="181"/>
      <c r="Y93" s="175"/>
      <c r="Z93" s="182"/>
      <c r="AA93" s="94"/>
      <c r="AB93" s="183"/>
    </row>
    <row r="94" spans="1:28">
      <c r="A94" s="110"/>
      <c r="B94" s="110"/>
      <c r="C94" s="110"/>
      <c r="D94" s="3"/>
      <c r="E94" s="175"/>
      <c r="F94" s="175"/>
      <c r="G94" s="175"/>
      <c r="H94" s="175"/>
      <c r="I94" s="175"/>
      <c r="J94" s="175"/>
      <c r="K94" s="175"/>
      <c r="L94" s="175"/>
      <c r="M94" s="176"/>
      <c r="N94" s="176"/>
      <c r="O94" s="175"/>
      <c r="P94" s="177"/>
      <c r="Q94" s="177"/>
      <c r="R94" s="178"/>
      <c r="S94" s="178"/>
      <c r="T94" s="176"/>
      <c r="U94" s="176"/>
      <c r="V94" s="179"/>
      <c r="W94" s="180"/>
      <c r="X94" s="181"/>
      <c r="Y94" s="175"/>
      <c r="Z94" s="182"/>
      <c r="AA94" s="94"/>
      <c r="AB94" s="183"/>
    </row>
    <row r="95" spans="1:28">
      <c r="A95" s="110"/>
      <c r="B95" s="110"/>
      <c r="C95" s="110"/>
      <c r="D95" s="3"/>
      <c r="E95" s="175"/>
      <c r="F95" s="175"/>
      <c r="G95" s="175"/>
      <c r="H95" s="175"/>
      <c r="I95" s="175"/>
      <c r="J95" s="175"/>
      <c r="K95" s="175"/>
      <c r="L95" s="175"/>
      <c r="M95" s="176"/>
      <c r="N95" s="176"/>
      <c r="O95" s="175"/>
      <c r="P95" s="177"/>
      <c r="Q95" s="177"/>
      <c r="R95" s="178"/>
      <c r="S95" s="178"/>
      <c r="T95" s="176"/>
      <c r="U95" s="176"/>
      <c r="V95" s="179"/>
      <c r="W95" s="180"/>
      <c r="X95" s="181"/>
      <c r="Y95" s="175"/>
      <c r="Z95" s="182"/>
      <c r="AA95" s="94"/>
      <c r="AB95" s="183"/>
    </row>
    <row r="96" spans="1:28">
      <c r="A96" s="110"/>
      <c r="B96" s="110"/>
      <c r="C96" s="110"/>
      <c r="D96" s="3"/>
      <c r="E96" s="175"/>
      <c r="F96" s="175"/>
      <c r="G96" s="175"/>
      <c r="H96" s="175"/>
      <c r="I96" s="175"/>
      <c r="J96" s="175"/>
      <c r="K96" s="175"/>
      <c r="L96" s="175"/>
      <c r="M96" s="176"/>
      <c r="N96" s="176"/>
      <c r="O96" s="175"/>
      <c r="P96" s="177"/>
      <c r="Q96" s="177"/>
      <c r="R96" s="178"/>
      <c r="S96" s="178"/>
      <c r="T96" s="176"/>
      <c r="U96" s="176"/>
      <c r="V96" s="179"/>
      <c r="W96" s="180"/>
      <c r="X96" s="181"/>
      <c r="Y96" s="175"/>
      <c r="Z96" s="182"/>
      <c r="AA96" s="94"/>
      <c r="AB96" s="183"/>
    </row>
    <row r="97" spans="1:28">
      <c r="A97" s="110"/>
      <c r="B97" s="110"/>
      <c r="C97" s="110"/>
      <c r="D97" s="3"/>
      <c r="E97" s="175"/>
      <c r="F97" s="175"/>
      <c r="G97" s="175"/>
      <c r="H97" s="175"/>
      <c r="I97" s="175"/>
      <c r="J97" s="175"/>
      <c r="K97" s="175"/>
      <c r="L97" s="175"/>
      <c r="M97" s="176"/>
      <c r="N97" s="176"/>
      <c r="O97" s="175"/>
      <c r="P97" s="177"/>
      <c r="Q97" s="177"/>
      <c r="R97" s="178"/>
      <c r="S97" s="178"/>
      <c r="T97" s="176"/>
      <c r="U97" s="176"/>
      <c r="V97" s="179"/>
      <c r="W97" s="180"/>
      <c r="X97" s="181"/>
      <c r="Y97" s="175"/>
      <c r="Z97" s="182"/>
      <c r="AA97" s="94"/>
      <c r="AB97" s="183"/>
    </row>
    <row r="98" spans="1:28">
      <c r="A98" s="110"/>
      <c r="B98" s="110"/>
      <c r="C98" s="110"/>
      <c r="D98" s="3"/>
      <c r="E98" s="175"/>
      <c r="F98" s="175"/>
      <c r="G98" s="175"/>
      <c r="H98" s="175"/>
      <c r="I98" s="175"/>
      <c r="J98" s="175"/>
      <c r="K98" s="175"/>
      <c r="L98" s="175"/>
      <c r="M98" s="176"/>
      <c r="N98" s="176"/>
      <c r="O98" s="175"/>
      <c r="P98" s="177"/>
      <c r="Q98" s="177"/>
      <c r="R98" s="178"/>
      <c r="S98" s="178"/>
      <c r="T98" s="176"/>
      <c r="U98" s="176"/>
      <c r="V98" s="179"/>
      <c r="W98" s="180"/>
      <c r="X98" s="181"/>
      <c r="Y98" s="175"/>
      <c r="Z98" s="182"/>
      <c r="AA98" s="94"/>
      <c r="AB98" s="183"/>
    </row>
    <row r="99" spans="1:28">
      <c r="A99" s="110"/>
      <c r="B99" s="110"/>
      <c r="C99" s="110"/>
      <c r="D99" s="3"/>
      <c r="E99" s="175"/>
      <c r="F99" s="175"/>
      <c r="G99" s="175"/>
      <c r="H99" s="175"/>
      <c r="I99" s="175"/>
      <c r="J99" s="175"/>
      <c r="K99" s="175"/>
      <c r="L99" s="175"/>
      <c r="M99" s="176"/>
      <c r="N99" s="176"/>
      <c r="O99" s="175"/>
      <c r="P99" s="177"/>
      <c r="Q99" s="177"/>
      <c r="R99" s="178"/>
      <c r="S99" s="178"/>
      <c r="T99" s="176"/>
      <c r="U99" s="176"/>
      <c r="V99" s="179"/>
      <c r="W99" s="180"/>
      <c r="X99" s="181"/>
      <c r="Y99" s="175"/>
      <c r="Z99" s="182"/>
      <c r="AA99" s="94"/>
      <c r="AB99" s="183"/>
    </row>
    <row r="100" spans="1:28">
      <c r="A100" s="110"/>
      <c r="B100" s="110"/>
      <c r="C100" s="110"/>
      <c r="D100" s="3"/>
      <c r="E100" s="175"/>
      <c r="F100" s="175"/>
      <c r="G100" s="175"/>
      <c r="H100" s="175"/>
      <c r="I100" s="175"/>
      <c r="J100" s="175"/>
      <c r="K100" s="175"/>
      <c r="L100" s="175"/>
      <c r="M100" s="176"/>
      <c r="N100" s="176"/>
      <c r="O100" s="175"/>
      <c r="P100" s="177"/>
      <c r="Q100" s="177"/>
      <c r="R100" s="178"/>
      <c r="S100" s="178"/>
      <c r="T100" s="176"/>
      <c r="U100" s="176"/>
      <c r="V100" s="179"/>
      <c r="W100" s="180"/>
      <c r="X100" s="181"/>
      <c r="Y100" s="175"/>
      <c r="Z100" s="182"/>
      <c r="AA100" s="94"/>
      <c r="AB100" s="183"/>
    </row>
    <row r="101" spans="1:28">
      <c r="A101" s="110"/>
      <c r="B101" s="110"/>
      <c r="C101" s="110"/>
      <c r="D101" s="3"/>
      <c r="E101" s="175"/>
      <c r="F101" s="175"/>
      <c r="G101" s="175"/>
      <c r="H101" s="175"/>
      <c r="I101" s="175"/>
      <c r="J101" s="175"/>
      <c r="K101" s="175"/>
      <c r="L101" s="175"/>
      <c r="M101" s="176"/>
      <c r="N101" s="176"/>
      <c r="O101" s="175"/>
      <c r="P101" s="177"/>
      <c r="Q101" s="177"/>
      <c r="R101" s="178"/>
      <c r="S101" s="178"/>
      <c r="T101" s="176"/>
      <c r="U101" s="176"/>
      <c r="V101" s="179"/>
      <c r="W101" s="180"/>
      <c r="X101" s="181"/>
      <c r="Y101" s="175"/>
      <c r="Z101" s="182"/>
      <c r="AA101" s="94"/>
      <c r="AB101" s="183"/>
    </row>
    <row r="102" spans="1:28">
      <c r="A102" s="110"/>
      <c r="B102" s="110"/>
      <c r="C102" s="110"/>
      <c r="D102" s="3"/>
      <c r="E102" s="175"/>
      <c r="F102" s="175"/>
      <c r="G102" s="175"/>
      <c r="H102" s="175"/>
      <c r="I102" s="175"/>
      <c r="J102" s="175"/>
      <c r="K102" s="175"/>
      <c r="L102" s="175"/>
      <c r="M102" s="176"/>
      <c r="N102" s="176"/>
      <c r="O102" s="175"/>
      <c r="P102" s="177"/>
      <c r="Q102" s="177"/>
      <c r="R102" s="178"/>
      <c r="S102" s="178"/>
      <c r="T102" s="176"/>
      <c r="U102" s="176"/>
      <c r="V102" s="179"/>
      <c r="W102" s="180"/>
      <c r="X102" s="181"/>
      <c r="Y102" s="175"/>
      <c r="Z102" s="182"/>
      <c r="AA102" s="94"/>
      <c r="AB102" s="183"/>
    </row>
    <row r="103" spans="1:28">
      <c r="A103" s="110"/>
      <c r="B103" s="110"/>
      <c r="C103" s="110"/>
      <c r="D103" s="3"/>
      <c r="E103" s="175"/>
      <c r="F103" s="175"/>
      <c r="G103" s="175"/>
      <c r="H103" s="175"/>
      <c r="I103" s="175"/>
      <c r="J103" s="175"/>
      <c r="K103" s="175"/>
      <c r="L103" s="175"/>
      <c r="M103" s="176"/>
      <c r="N103" s="176"/>
      <c r="O103" s="175"/>
      <c r="P103" s="177"/>
      <c r="Q103" s="177"/>
      <c r="R103" s="178"/>
      <c r="S103" s="178"/>
      <c r="T103" s="176"/>
      <c r="U103" s="176"/>
      <c r="V103" s="179"/>
      <c r="W103" s="180"/>
      <c r="X103" s="181"/>
      <c r="Y103" s="175"/>
      <c r="Z103" s="182"/>
      <c r="AA103" s="94"/>
      <c r="AB103" s="183"/>
    </row>
    <row r="104" spans="1:28">
      <c r="A104" s="110"/>
      <c r="B104" s="110"/>
      <c r="C104" s="110"/>
      <c r="D104" s="3"/>
      <c r="E104" s="175"/>
      <c r="F104" s="175"/>
      <c r="G104" s="175"/>
      <c r="H104" s="175"/>
      <c r="I104" s="175"/>
      <c r="J104" s="175"/>
      <c r="K104" s="175"/>
      <c r="L104" s="175"/>
      <c r="M104" s="176"/>
      <c r="N104" s="176"/>
      <c r="O104" s="175"/>
      <c r="P104" s="177"/>
      <c r="Q104" s="177"/>
      <c r="R104" s="178"/>
      <c r="S104" s="178"/>
      <c r="T104" s="176"/>
      <c r="U104" s="176"/>
      <c r="V104" s="179"/>
      <c r="W104" s="180"/>
      <c r="X104" s="181"/>
      <c r="Y104" s="175"/>
      <c r="Z104" s="182"/>
      <c r="AA104" s="94"/>
      <c r="AB104" s="183"/>
    </row>
    <row r="105" spans="1:28">
      <c r="A105" s="110"/>
      <c r="B105" s="110"/>
      <c r="C105" s="110"/>
      <c r="D105" s="3"/>
      <c r="E105" s="175"/>
      <c r="F105" s="175"/>
      <c r="G105" s="175"/>
      <c r="H105" s="175"/>
      <c r="I105" s="175"/>
      <c r="J105" s="175"/>
      <c r="K105" s="175"/>
      <c r="L105" s="175"/>
      <c r="M105" s="176"/>
      <c r="N105" s="176"/>
      <c r="O105" s="175"/>
      <c r="P105" s="177"/>
      <c r="Q105" s="177"/>
      <c r="R105" s="178"/>
      <c r="S105" s="178"/>
      <c r="T105" s="176"/>
      <c r="U105" s="176"/>
      <c r="V105" s="179"/>
      <c r="W105" s="180"/>
      <c r="X105" s="181"/>
      <c r="Y105" s="175"/>
      <c r="Z105" s="182"/>
      <c r="AA105" s="94"/>
      <c r="AB105" s="183"/>
    </row>
    <row r="106" spans="1:28">
      <c r="A106" s="110"/>
      <c r="B106" s="110"/>
      <c r="C106" s="110"/>
      <c r="D106" s="3"/>
      <c r="E106" s="175"/>
      <c r="F106" s="175"/>
      <c r="G106" s="175"/>
      <c r="H106" s="175"/>
      <c r="I106" s="175"/>
      <c r="J106" s="175"/>
      <c r="K106" s="175"/>
      <c r="L106" s="175"/>
      <c r="M106" s="176"/>
      <c r="N106" s="176"/>
      <c r="O106" s="175"/>
      <c r="P106" s="177"/>
      <c r="Q106" s="177"/>
      <c r="R106" s="178"/>
      <c r="S106" s="178"/>
      <c r="T106" s="176"/>
      <c r="U106" s="176"/>
      <c r="V106" s="179"/>
      <c r="W106" s="180"/>
      <c r="X106" s="181"/>
      <c r="Y106" s="175"/>
      <c r="Z106" s="182"/>
      <c r="AA106" s="94"/>
      <c r="AB106" s="183"/>
    </row>
    <row r="107" spans="1:28">
      <c r="A107" s="110"/>
      <c r="B107" s="110"/>
      <c r="C107" s="110"/>
      <c r="D107" s="3"/>
      <c r="E107" s="175"/>
      <c r="F107" s="175"/>
      <c r="G107" s="175"/>
      <c r="H107" s="175"/>
      <c r="I107" s="175"/>
      <c r="J107" s="175"/>
      <c r="K107" s="175"/>
      <c r="L107" s="175"/>
      <c r="M107" s="176"/>
      <c r="N107" s="176"/>
      <c r="O107" s="175"/>
      <c r="P107" s="177"/>
      <c r="Q107" s="177"/>
      <c r="R107" s="178"/>
      <c r="S107" s="178"/>
      <c r="T107" s="176"/>
      <c r="U107" s="176"/>
      <c r="V107" s="179"/>
      <c r="W107" s="180"/>
      <c r="X107" s="181"/>
      <c r="Y107" s="175"/>
      <c r="Z107" s="182"/>
      <c r="AA107" s="94"/>
      <c r="AB107" s="183"/>
    </row>
    <row r="108" spans="1:28">
      <c r="A108" s="110"/>
      <c r="B108" s="110"/>
      <c r="C108" s="110"/>
      <c r="D108" s="3"/>
      <c r="E108" s="175"/>
      <c r="F108" s="175"/>
      <c r="G108" s="175"/>
      <c r="H108" s="175"/>
      <c r="I108" s="175"/>
      <c r="J108" s="175"/>
      <c r="K108" s="175"/>
      <c r="L108" s="175"/>
      <c r="M108" s="176"/>
      <c r="N108" s="176"/>
      <c r="O108" s="175"/>
      <c r="P108" s="177"/>
      <c r="Q108" s="177"/>
      <c r="R108" s="178"/>
      <c r="S108" s="178"/>
      <c r="T108" s="176"/>
      <c r="U108" s="176"/>
      <c r="V108" s="179"/>
      <c r="W108" s="180"/>
      <c r="X108" s="181"/>
      <c r="Y108" s="175"/>
      <c r="Z108" s="182"/>
      <c r="AA108" s="94"/>
      <c r="AB108" s="183"/>
    </row>
    <row r="109" spans="1:28">
      <c r="A109" s="110"/>
      <c r="B109" s="110"/>
      <c r="C109" s="110"/>
      <c r="D109" s="3"/>
      <c r="E109" s="175"/>
      <c r="F109" s="175"/>
      <c r="G109" s="175"/>
      <c r="H109" s="175"/>
      <c r="I109" s="175"/>
      <c r="J109" s="175"/>
      <c r="K109" s="175"/>
      <c r="L109" s="175"/>
      <c r="M109" s="176"/>
      <c r="N109" s="176"/>
      <c r="O109" s="175"/>
      <c r="P109" s="177"/>
      <c r="Q109" s="177"/>
      <c r="R109" s="178"/>
      <c r="S109" s="178"/>
      <c r="T109" s="176"/>
      <c r="U109" s="176"/>
      <c r="V109" s="179"/>
      <c r="W109" s="180"/>
      <c r="X109" s="181"/>
      <c r="Y109" s="175"/>
      <c r="Z109" s="182"/>
      <c r="AA109" s="94"/>
      <c r="AB109" s="183"/>
    </row>
    <row r="110" spans="1:28">
      <c r="A110" s="110"/>
      <c r="B110" s="110"/>
      <c r="C110" s="110"/>
      <c r="D110" s="3"/>
      <c r="E110" s="175"/>
      <c r="F110" s="175"/>
      <c r="G110" s="175"/>
      <c r="H110" s="175"/>
      <c r="I110" s="175"/>
      <c r="J110" s="175"/>
      <c r="K110" s="175"/>
      <c r="L110" s="175"/>
      <c r="M110" s="176"/>
      <c r="N110" s="176"/>
      <c r="O110" s="175"/>
      <c r="P110" s="177"/>
      <c r="Q110" s="177"/>
      <c r="R110" s="178"/>
      <c r="S110" s="178"/>
      <c r="T110" s="176"/>
      <c r="U110" s="176"/>
      <c r="V110" s="179"/>
      <c r="W110" s="180"/>
      <c r="X110" s="181"/>
      <c r="Y110" s="175"/>
      <c r="Z110" s="182"/>
      <c r="AA110" s="94"/>
      <c r="AB110" s="183"/>
    </row>
    <row r="111" spans="1:28">
      <c r="A111" s="110"/>
      <c r="B111" s="110"/>
      <c r="C111" s="110"/>
      <c r="D111" s="3"/>
      <c r="E111" s="175"/>
      <c r="F111" s="175"/>
      <c r="G111" s="175"/>
      <c r="H111" s="175"/>
      <c r="I111" s="175"/>
      <c r="J111" s="175"/>
      <c r="K111" s="175"/>
      <c r="L111" s="175"/>
      <c r="M111" s="176"/>
      <c r="N111" s="176"/>
      <c r="O111" s="175"/>
      <c r="P111" s="177"/>
      <c r="Q111" s="177"/>
      <c r="R111" s="178"/>
      <c r="S111" s="178"/>
      <c r="T111" s="176"/>
      <c r="U111" s="176"/>
      <c r="V111" s="179"/>
      <c r="W111" s="180"/>
      <c r="X111" s="181"/>
      <c r="Y111" s="175"/>
      <c r="Z111" s="182"/>
      <c r="AA111" s="94"/>
      <c r="AB111" s="183"/>
    </row>
    <row r="112" spans="1:28">
      <c r="A112" s="110"/>
      <c r="B112" s="110"/>
      <c r="C112" s="110"/>
      <c r="D112" s="3"/>
      <c r="E112" s="175"/>
      <c r="F112" s="175"/>
      <c r="G112" s="175"/>
      <c r="H112" s="175"/>
      <c r="I112" s="175"/>
      <c r="J112" s="175"/>
      <c r="K112" s="175"/>
      <c r="L112" s="175"/>
      <c r="M112" s="176"/>
      <c r="N112" s="176"/>
      <c r="O112" s="175"/>
      <c r="P112" s="177"/>
      <c r="Q112" s="177"/>
      <c r="R112" s="178"/>
      <c r="S112" s="178"/>
      <c r="T112" s="176"/>
      <c r="U112" s="176"/>
      <c r="V112" s="179"/>
      <c r="W112" s="180"/>
      <c r="X112" s="181"/>
      <c r="Y112" s="175"/>
      <c r="Z112" s="182"/>
      <c r="AA112" s="94"/>
      <c r="AB112" s="183"/>
    </row>
    <row r="113" spans="1:28">
      <c r="A113" s="110"/>
      <c r="B113" s="110"/>
      <c r="C113" s="110"/>
      <c r="D113" s="3"/>
      <c r="E113" s="175"/>
      <c r="F113" s="175"/>
      <c r="G113" s="175"/>
      <c r="H113" s="175"/>
      <c r="I113" s="175"/>
      <c r="J113" s="175"/>
      <c r="K113" s="175"/>
      <c r="L113" s="175"/>
      <c r="M113" s="176"/>
      <c r="N113" s="176"/>
      <c r="O113" s="175"/>
      <c r="P113" s="177"/>
      <c r="Q113" s="177"/>
      <c r="R113" s="178"/>
      <c r="S113" s="178"/>
      <c r="T113" s="176"/>
      <c r="U113" s="176"/>
      <c r="V113" s="179"/>
      <c r="W113" s="180"/>
      <c r="X113" s="181"/>
      <c r="Y113" s="175"/>
      <c r="Z113" s="182"/>
      <c r="AA113" s="94"/>
      <c r="AB113" s="183"/>
    </row>
    <row r="114" spans="1:28">
      <c r="A114" s="110"/>
      <c r="B114" s="110"/>
      <c r="C114" s="110"/>
      <c r="D114" s="3"/>
      <c r="E114" s="175"/>
      <c r="F114" s="175"/>
      <c r="G114" s="175"/>
      <c r="H114" s="175"/>
      <c r="I114" s="175"/>
      <c r="J114" s="175"/>
      <c r="K114" s="175"/>
      <c r="L114" s="175"/>
      <c r="M114" s="176"/>
      <c r="N114" s="176"/>
      <c r="O114" s="175"/>
      <c r="P114" s="177"/>
      <c r="Q114" s="177"/>
      <c r="R114" s="178"/>
      <c r="S114" s="178"/>
      <c r="T114" s="176"/>
      <c r="U114" s="176"/>
      <c r="V114" s="179"/>
      <c r="W114" s="180"/>
      <c r="X114" s="181"/>
      <c r="Y114" s="175"/>
      <c r="Z114" s="182"/>
      <c r="AA114" s="94"/>
      <c r="AB114" s="183"/>
    </row>
    <row r="115" spans="1:28">
      <c r="A115" s="110"/>
      <c r="B115" s="110"/>
      <c r="C115" s="110"/>
      <c r="D115" s="3"/>
      <c r="E115" s="175"/>
      <c r="F115" s="175"/>
      <c r="G115" s="175"/>
      <c r="H115" s="175"/>
      <c r="I115" s="175"/>
      <c r="J115" s="175"/>
      <c r="K115" s="175"/>
      <c r="L115" s="175"/>
      <c r="M115" s="176"/>
      <c r="N115" s="176"/>
      <c r="O115" s="175"/>
      <c r="P115" s="177"/>
      <c r="Q115" s="177"/>
      <c r="R115" s="178"/>
      <c r="S115" s="178"/>
      <c r="T115" s="176"/>
      <c r="U115" s="176"/>
      <c r="V115" s="179"/>
      <c r="W115" s="180"/>
      <c r="X115" s="181"/>
      <c r="Y115" s="175"/>
      <c r="Z115" s="182"/>
      <c r="AA115" s="94"/>
      <c r="AB115" s="183"/>
    </row>
    <row r="116" spans="1:28">
      <c r="A116" s="110"/>
      <c r="B116" s="110"/>
      <c r="C116" s="110"/>
      <c r="D116" s="3"/>
      <c r="E116" s="175"/>
      <c r="F116" s="175"/>
      <c r="G116" s="175"/>
      <c r="H116" s="175"/>
      <c r="I116" s="175"/>
      <c r="J116" s="175"/>
      <c r="K116" s="175"/>
      <c r="L116" s="175"/>
      <c r="M116" s="176"/>
      <c r="N116" s="176"/>
      <c r="O116" s="175"/>
      <c r="P116" s="177"/>
      <c r="Q116" s="177"/>
      <c r="R116" s="178"/>
      <c r="S116" s="178"/>
      <c r="T116" s="176"/>
      <c r="U116" s="176"/>
      <c r="V116" s="179"/>
      <c r="W116" s="180"/>
      <c r="X116" s="181"/>
      <c r="Y116" s="175"/>
      <c r="Z116" s="182"/>
      <c r="AA116" s="94"/>
      <c r="AB116" s="183"/>
    </row>
    <row r="117" spans="1:28">
      <c r="A117" s="110"/>
      <c r="B117" s="110"/>
      <c r="C117" s="110"/>
      <c r="D117" s="3"/>
      <c r="E117" s="175"/>
      <c r="F117" s="175"/>
      <c r="G117" s="175"/>
      <c r="H117" s="175"/>
      <c r="I117" s="175"/>
      <c r="J117" s="175"/>
      <c r="K117" s="175"/>
      <c r="L117" s="175"/>
      <c r="M117" s="176"/>
      <c r="N117" s="176"/>
      <c r="O117" s="175"/>
      <c r="P117" s="177"/>
      <c r="Q117" s="177"/>
      <c r="R117" s="178"/>
      <c r="S117" s="178"/>
      <c r="T117" s="176"/>
      <c r="U117" s="176"/>
      <c r="V117" s="179"/>
      <c r="W117" s="180"/>
      <c r="X117" s="181"/>
      <c r="Y117" s="175"/>
      <c r="Z117" s="182"/>
      <c r="AA117" s="94"/>
      <c r="AB117" s="183"/>
    </row>
    <row r="118" spans="1:28">
      <c r="A118" s="110"/>
      <c r="B118" s="110"/>
      <c r="C118" s="110"/>
      <c r="D118" s="3"/>
      <c r="E118" s="175"/>
      <c r="F118" s="175"/>
      <c r="G118" s="175"/>
      <c r="H118" s="175"/>
      <c r="I118" s="175"/>
      <c r="J118" s="175"/>
      <c r="K118" s="175"/>
      <c r="L118" s="175"/>
      <c r="M118" s="176"/>
      <c r="N118" s="176"/>
      <c r="O118" s="175"/>
      <c r="P118" s="177"/>
      <c r="Q118" s="177"/>
      <c r="R118" s="178"/>
      <c r="S118" s="178"/>
      <c r="T118" s="176"/>
      <c r="U118" s="176"/>
      <c r="V118" s="179"/>
      <c r="W118" s="180"/>
      <c r="X118" s="181"/>
      <c r="Y118" s="175"/>
      <c r="Z118" s="182"/>
      <c r="AA118" s="94"/>
      <c r="AB118" s="183"/>
    </row>
    <row r="119" spans="1:28">
      <c r="A119" s="110"/>
      <c r="B119" s="110"/>
      <c r="C119" s="110"/>
      <c r="D119" s="3"/>
      <c r="E119" s="175"/>
      <c r="F119" s="175"/>
      <c r="G119" s="175"/>
      <c r="H119" s="175"/>
      <c r="I119" s="175"/>
      <c r="J119" s="175"/>
      <c r="K119" s="175"/>
      <c r="L119" s="175"/>
      <c r="M119" s="176"/>
      <c r="N119" s="176"/>
      <c r="O119" s="175"/>
      <c r="P119" s="177"/>
      <c r="Q119" s="177"/>
      <c r="R119" s="178"/>
      <c r="S119" s="178"/>
      <c r="T119" s="176"/>
      <c r="U119" s="176"/>
      <c r="V119" s="179"/>
      <c r="W119" s="180"/>
      <c r="X119" s="181"/>
      <c r="Y119" s="175"/>
      <c r="Z119" s="182"/>
      <c r="AA119" s="94"/>
      <c r="AB119" s="183"/>
    </row>
    <row r="120" spans="1:28">
      <c r="A120" s="110"/>
      <c r="B120" s="110"/>
      <c r="C120" s="110"/>
      <c r="D120" s="3"/>
      <c r="E120" s="175"/>
      <c r="F120" s="175"/>
      <c r="G120" s="175"/>
      <c r="H120" s="175"/>
      <c r="I120" s="175"/>
      <c r="J120" s="175"/>
      <c r="K120" s="175"/>
      <c r="L120" s="175"/>
      <c r="M120" s="176"/>
      <c r="N120" s="176"/>
      <c r="O120" s="175"/>
      <c r="P120" s="177"/>
      <c r="Q120" s="177"/>
      <c r="R120" s="178"/>
      <c r="S120" s="178"/>
      <c r="T120" s="176"/>
      <c r="U120" s="176"/>
      <c r="V120" s="179"/>
      <c r="W120" s="180"/>
      <c r="X120" s="181"/>
      <c r="Y120" s="175"/>
      <c r="Z120" s="182"/>
      <c r="AA120" s="94"/>
      <c r="AB120" s="183"/>
    </row>
    <row r="121" spans="1:28">
      <c r="A121" s="110"/>
      <c r="B121" s="110"/>
      <c r="C121" s="110"/>
      <c r="D121" s="3"/>
      <c r="E121" s="175"/>
      <c r="F121" s="175"/>
      <c r="G121" s="175"/>
      <c r="H121" s="175"/>
      <c r="I121" s="175"/>
      <c r="J121" s="175"/>
      <c r="K121" s="175"/>
      <c r="L121" s="175"/>
      <c r="M121" s="176"/>
      <c r="N121" s="176"/>
      <c r="O121" s="175"/>
      <c r="P121" s="177"/>
      <c r="Q121" s="177"/>
      <c r="R121" s="178"/>
      <c r="S121" s="178"/>
      <c r="T121" s="176"/>
      <c r="U121" s="176"/>
      <c r="V121" s="179"/>
      <c r="W121" s="180"/>
      <c r="X121" s="181"/>
      <c r="Y121" s="175"/>
      <c r="Z121" s="182"/>
      <c r="AA121" s="94"/>
      <c r="AB121" s="183"/>
    </row>
    <row r="122" spans="1:28">
      <c r="A122" s="110"/>
      <c r="B122" s="110"/>
      <c r="C122" s="110"/>
      <c r="D122" s="3"/>
      <c r="E122" s="175"/>
      <c r="F122" s="175"/>
      <c r="G122" s="175"/>
      <c r="H122" s="175"/>
      <c r="I122" s="175"/>
      <c r="J122" s="175"/>
      <c r="K122" s="175"/>
      <c r="L122" s="175"/>
      <c r="M122" s="176"/>
      <c r="N122" s="176"/>
      <c r="O122" s="175"/>
      <c r="P122" s="177"/>
      <c r="Q122" s="177"/>
      <c r="R122" s="178"/>
      <c r="S122" s="178"/>
      <c r="T122" s="176"/>
      <c r="U122" s="176"/>
      <c r="V122" s="179"/>
      <c r="W122" s="180"/>
      <c r="X122" s="181"/>
      <c r="Y122" s="175"/>
      <c r="Z122" s="182"/>
      <c r="AA122" s="94"/>
      <c r="AB122" s="183"/>
    </row>
    <row r="123" spans="1:28">
      <c r="A123" s="110"/>
      <c r="B123" s="110"/>
      <c r="C123" s="110"/>
      <c r="D123" s="3"/>
      <c r="E123" s="175"/>
      <c r="F123" s="175"/>
      <c r="G123" s="175"/>
      <c r="H123" s="175"/>
      <c r="I123" s="175"/>
      <c r="J123" s="175"/>
      <c r="K123" s="175"/>
      <c r="L123" s="175"/>
      <c r="M123" s="176"/>
      <c r="N123" s="176"/>
      <c r="O123" s="175"/>
      <c r="P123" s="177"/>
      <c r="Q123" s="177"/>
      <c r="R123" s="178"/>
      <c r="S123" s="178"/>
      <c r="T123" s="176"/>
      <c r="U123" s="176"/>
      <c r="V123" s="179"/>
      <c r="W123" s="180"/>
      <c r="X123" s="181"/>
      <c r="Y123" s="175"/>
      <c r="Z123" s="182"/>
      <c r="AA123" s="94"/>
      <c r="AB123" s="183"/>
    </row>
    <row r="124" spans="1:28">
      <c r="A124" s="110"/>
      <c r="B124" s="110"/>
      <c r="C124" s="110"/>
      <c r="D124" s="3"/>
      <c r="E124" s="175"/>
      <c r="F124" s="175"/>
      <c r="G124" s="175"/>
      <c r="H124" s="175"/>
      <c r="I124" s="175"/>
      <c r="J124" s="175"/>
      <c r="K124" s="175"/>
      <c r="L124" s="175"/>
      <c r="M124" s="176"/>
      <c r="N124" s="176"/>
      <c r="O124" s="175"/>
      <c r="P124" s="177"/>
      <c r="Q124" s="177"/>
      <c r="R124" s="178"/>
      <c r="S124" s="178"/>
      <c r="T124" s="176"/>
      <c r="U124" s="176"/>
      <c r="V124" s="179"/>
      <c r="W124" s="180"/>
      <c r="X124" s="181"/>
      <c r="Y124" s="175"/>
      <c r="Z124" s="182"/>
      <c r="AA124" s="94"/>
      <c r="AB124" s="183"/>
    </row>
    <row r="125" spans="1:28">
      <c r="A125" s="110"/>
      <c r="B125" s="110"/>
      <c r="C125" s="110"/>
      <c r="D125" s="3"/>
      <c r="E125" s="175"/>
      <c r="F125" s="175"/>
      <c r="G125" s="175"/>
      <c r="H125" s="175"/>
      <c r="I125" s="175"/>
      <c r="J125" s="175"/>
      <c r="K125" s="175"/>
      <c r="L125" s="175"/>
      <c r="M125" s="176"/>
      <c r="N125" s="176"/>
      <c r="O125" s="175"/>
      <c r="P125" s="177"/>
      <c r="Q125" s="177"/>
      <c r="R125" s="178"/>
      <c r="S125" s="178"/>
      <c r="T125" s="176"/>
      <c r="U125" s="176"/>
      <c r="V125" s="179"/>
      <c r="W125" s="180"/>
      <c r="X125" s="181"/>
      <c r="Y125" s="175"/>
      <c r="Z125" s="182"/>
      <c r="AA125" s="94"/>
      <c r="AB125" s="183"/>
    </row>
    <row r="126" spans="1:28">
      <c r="A126" s="110"/>
      <c r="B126" s="110"/>
      <c r="C126" s="110"/>
      <c r="D126" s="3"/>
      <c r="E126" s="175"/>
      <c r="F126" s="175"/>
      <c r="G126" s="175"/>
      <c r="H126" s="175"/>
      <c r="I126" s="175"/>
      <c r="J126" s="175"/>
      <c r="K126" s="175"/>
      <c r="L126" s="175"/>
      <c r="M126" s="176"/>
      <c r="N126" s="176"/>
      <c r="O126" s="175"/>
      <c r="P126" s="177"/>
      <c r="Q126" s="177"/>
      <c r="R126" s="178"/>
      <c r="S126" s="178"/>
      <c r="T126" s="176"/>
      <c r="U126" s="176"/>
      <c r="V126" s="179"/>
      <c r="W126" s="180"/>
      <c r="X126" s="181"/>
      <c r="Y126" s="175"/>
      <c r="Z126" s="182"/>
      <c r="AA126" s="94"/>
      <c r="AB126" s="183"/>
    </row>
    <row r="127" spans="1:28">
      <c r="A127" s="110"/>
      <c r="B127" s="110"/>
      <c r="C127" s="110"/>
      <c r="D127" s="3"/>
      <c r="E127" s="175"/>
      <c r="F127" s="175"/>
      <c r="G127" s="175"/>
      <c r="H127" s="175"/>
      <c r="I127" s="175"/>
      <c r="J127" s="175"/>
      <c r="K127" s="175"/>
      <c r="L127" s="175"/>
      <c r="M127" s="176"/>
      <c r="N127" s="176"/>
      <c r="O127" s="175"/>
      <c r="P127" s="177"/>
      <c r="Q127" s="177"/>
      <c r="R127" s="178"/>
      <c r="S127" s="178"/>
      <c r="T127" s="176"/>
      <c r="U127" s="176"/>
      <c r="V127" s="179"/>
      <c r="W127" s="180"/>
      <c r="X127" s="181"/>
      <c r="Y127" s="175"/>
      <c r="Z127" s="182"/>
      <c r="AA127" s="94"/>
      <c r="AB127" s="183"/>
    </row>
    <row r="128" spans="1:28">
      <c r="A128" s="110"/>
      <c r="B128" s="110"/>
      <c r="C128" s="110"/>
      <c r="D128" s="3"/>
      <c r="E128" s="175"/>
      <c r="F128" s="175"/>
      <c r="G128" s="175"/>
      <c r="H128" s="175"/>
      <c r="I128" s="175"/>
      <c r="J128" s="175"/>
      <c r="K128" s="175"/>
      <c r="L128" s="175"/>
      <c r="M128" s="176"/>
      <c r="N128" s="176"/>
      <c r="O128" s="175"/>
      <c r="P128" s="177"/>
      <c r="Q128" s="177"/>
      <c r="R128" s="178"/>
      <c r="S128" s="178"/>
      <c r="T128" s="176"/>
      <c r="U128" s="176"/>
      <c r="V128" s="179"/>
      <c r="W128" s="180"/>
      <c r="X128" s="181"/>
      <c r="Y128" s="175"/>
      <c r="Z128" s="182"/>
      <c r="AA128" s="94"/>
      <c r="AB128" s="183"/>
    </row>
    <row r="129" spans="1:28">
      <c r="A129" s="110"/>
      <c r="B129" s="110"/>
      <c r="C129" s="110"/>
      <c r="D129" s="3"/>
      <c r="E129" s="175"/>
      <c r="F129" s="175"/>
      <c r="G129" s="175"/>
      <c r="H129" s="175"/>
      <c r="I129" s="175"/>
      <c r="J129" s="175"/>
      <c r="K129" s="175"/>
      <c r="L129" s="175"/>
      <c r="M129" s="176"/>
      <c r="N129" s="176"/>
      <c r="O129" s="175"/>
      <c r="P129" s="177"/>
      <c r="Q129" s="177"/>
      <c r="R129" s="178"/>
      <c r="S129" s="178"/>
      <c r="T129" s="176"/>
      <c r="U129" s="176"/>
      <c r="V129" s="179"/>
      <c r="W129" s="180"/>
      <c r="X129" s="181"/>
      <c r="Y129" s="175"/>
      <c r="Z129" s="182"/>
      <c r="AA129" s="94"/>
      <c r="AB129" s="183"/>
    </row>
    <row r="130" spans="1:28">
      <c r="A130" s="161"/>
      <c r="B130" s="161"/>
      <c r="C130" s="161"/>
      <c r="D130" s="162"/>
      <c r="E130" s="163"/>
      <c r="F130" s="163"/>
      <c r="G130" s="163"/>
      <c r="H130" s="163"/>
      <c r="I130" s="163"/>
      <c r="J130" s="163"/>
      <c r="K130" s="163"/>
      <c r="L130" s="163"/>
      <c r="M130" s="164"/>
      <c r="N130" s="164"/>
      <c r="O130" s="163"/>
      <c r="P130" s="165"/>
      <c r="Q130" s="165"/>
      <c r="R130" s="166"/>
      <c r="S130" s="166"/>
      <c r="T130" s="164"/>
      <c r="U130" s="164"/>
      <c r="V130" s="167"/>
      <c r="W130" s="168"/>
      <c r="X130" s="169"/>
      <c r="Y130" s="163"/>
      <c r="Z130" s="170"/>
      <c r="AA130" s="171"/>
      <c r="AB130" s="172"/>
    </row>
  </sheetData>
  <sheetProtection formatCells="0" formatColumns="0" formatRows="0" insertColumns="0" insertRows="0" insertHyperlinks="0" deleteColumns="0" deleteRows="0" sort="0" autoFilter="0" pivotTables="0"/>
  <dataConsolidate/>
  <mergeCells count="30">
    <mergeCell ref="AB3:AB4"/>
    <mergeCell ref="T3:T4"/>
    <mergeCell ref="U3:U4"/>
    <mergeCell ref="V3:V4"/>
    <mergeCell ref="W3:W4"/>
    <mergeCell ref="X3:X4"/>
    <mergeCell ref="AA3:AA4"/>
    <mergeCell ref="D2:F2"/>
    <mergeCell ref="L3:L4"/>
    <mergeCell ref="M3:M4"/>
    <mergeCell ref="N3:N4"/>
    <mergeCell ref="Z3:Z4"/>
    <mergeCell ref="O3:O4"/>
    <mergeCell ref="P3:P4"/>
    <mergeCell ref="Q3:Q4"/>
    <mergeCell ref="R3:R4"/>
    <mergeCell ref="S3:S4"/>
    <mergeCell ref="Y3:Y4"/>
    <mergeCell ref="A3:A4"/>
    <mergeCell ref="B3:B4"/>
    <mergeCell ref="C3:C4"/>
    <mergeCell ref="D3:D4"/>
    <mergeCell ref="E3:K4"/>
    <mergeCell ref="AC3:AF3"/>
    <mergeCell ref="AC1:CA1"/>
    <mergeCell ref="AG3:AJ3"/>
    <mergeCell ref="AK3:AN3"/>
    <mergeCell ref="AO3:AR3"/>
    <mergeCell ref="AS3:AV3"/>
    <mergeCell ref="AW3:AZ3"/>
  </mergeCells>
  <phoneticPr fontId="8" type="noConversion"/>
  <conditionalFormatting sqref="D5:AB56">
    <cfRule type="expression" dxfId="2" priority="2">
      <formula>($B5="G")</formula>
    </cfRule>
    <cfRule type="expression" dxfId="1" priority="1">
      <formula>($AB5=1)</formula>
    </cfRule>
  </conditionalFormatting>
  <hyperlinks>
    <hyperlink ref="AC1:CA1" r:id="rId1" display="http://xlworks.net/" xr:uid="{00000000-0004-0000-0300-000000000000}"/>
  </hyperlinks>
  <pageMargins left="0.19685039370078741" right="0.23622047244094491" top="0.43307086614173229" bottom="0.23622047244094491" header="0.23622047244094491" footer="0.19685039370078741"/>
  <pageSetup paperSize="9" scale="30" fitToHeight="0" orientation="landscape" r:id="rId2"/>
  <headerFooter alignWithMargins="0">
    <oddFooter>&amp;L&amp;"-,보통"&amp;9XLGantt ©http://xlworks.net&amp;C&amp;"-,보통"&amp;9&amp;P/&amp;N</oddFoot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A1:W30"/>
  <sheetViews>
    <sheetView showGridLines="0" zoomScaleNormal="100" workbookViewId="0">
      <pane ySplit="1" topLeftCell="A2" activePane="bottomLeft" state="frozenSplit"/>
      <selection pane="bottomLeft" activeCell="C27" sqref="C27"/>
      <selection activeCell="E5" sqref="E5"/>
    </sheetView>
  </sheetViews>
  <sheetFormatPr defaultColWidth="10" defaultRowHeight="15"/>
  <cols>
    <col min="1" max="1" width="35.375" style="72" customWidth="1"/>
    <col min="2" max="2" width="13.25" style="70" customWidth="1"/>
    <col min="3" max="3" width="9.875" style="74" customWidth="1"/>
    <col min="4" max="4" width="31.375" style="74" customWidth="1"/>
    <col min="5" max="6" width="14.125" style="74" customWidth="1"/>
    <col min="7" max="7" width="28.375" style="74" customWidth="1"/>
    <col min="8" max="9" width="10" style="74"/>
    <col min="10" max="10" width="8.875" style="74" bestFit="1" customWidth="1"/>
    <col min="11" max="19" width="10" style="74"/>
    <col min="20" max="22" width="10" style="74" customWidth="1"/>
    <col min="23" max="23" width="10" style="74" hidden="1" customWidth="1"/>
    <col min="24" max="16384" width="10" style="74"/>
  </cols>
  <sheetData>
    <row r="1" spans="1:17" s="19" customFormat="1" ht="36.950000000000003" customHeight="1">
      <c r="A1" s="16" t="s">
        <v>1125</v>
      </c>
      <c r="B1" s="17"/>
      <c r="C1" s="17"/>
      <c r="D1" s="17"/>
      <c r="E1" s="17"/>
      <c r="F1" s="17"/>
      <c r="G1" s="17"/>
      <c r="H1" s="17"/>
      <c r="I1" s="17"/>
      <c r="J1" s="17"/>
      <c r="K1" s="17"/>
      <c r="L1" s="229"/>
      <c r="M1" s="230"/>
      <c r="N1" s="230"/>
      <c r="O1" s="18"/>
      <c r="P1" s="18"/>
      <c r="Q1" s="18"/>
    </row>
    <row r="2" spans="1:17" s="22" customFormat="1" ht="12.75">
      <c r="A2" s="20" t="s">
        <v>1126</v>
      </c>
      <c r="B2" s="21"/>
    </row>
    <row r="3" spans="1:17" s="22" customFormat="1" ht="12.75">
      <c r="A3" s="20" t="s">
        <v>1127</v>
      </c>
      <c r="B3" s="21"/>
    </row>
    <row r="4" spans="1:17" s="22" customFormat="1" ht="12.75">
      <c r="A4" s="231"/>
      <c r="B4" s="231"/>
      <c r="C4" s="23"/>
      <c r="D4" s="24"/>
      <c r="E4" s="24"/>
      <c r="F4" s="24"/>
    </row>
    <row r="5" spans="1:17" s="30" customFormat="1" ht="12.75">
      <c r="A5" s="25"/>
      <c r="B5" s="26"/>
      <c r="C5" s="27"/>
      <c r="D5" s="28"/>
      <c r="E5" s="29"/>
      <c r="F5" s="29"/>
      <c r="G5" s="29"/>
    </row>
    <row r="6" spans="1:17" s="30" customFormat="1" ht="12.75">
      <c r="A6" s="31" t="s">
        <v>1128</v>
      </c>
      <c r="B6" s="32">
        <v>263</v>
      </c>
      <c r="C6" s="30" t="s">
        <v>1129</v>
      </c>
      <c r="D6" s="228" t="s">
        <v>1130</v>
      </c>
      <c r="E6" s="228"/>
      <c r="F6" s="228"/>
      <c r="G6" s="228"/>
    </row>
    <row r="7" spans="1:17" s="30" customFormat="1" ht="12.75">
      <c r="A7" s="33"/>
      <c r="B7" s="34"/>
      <c r="C7" s="35"/>
      <c r="D7" s="36"/>
      <c r="E7" s="36"/>
      <c r="F7" s="36"/>
      <c r="G7" s="36"/>
    </row>
    <row r="8" spans="1:17" s="30" customFormat="1" ht="12.75" customHeight="1">
      <c r="A8" s="37"/>
      <c r="B8" s="38"/>
      <c r="D8" s="39"/>
      <c r="E8" s="39"/>
      <c r="F8" s="39"/>
      <c r="G8" s="39"/>
      <c r="J8" s="40"/>
    </row>
    <row r="9" spans="1:17" s="30" customFormat="1" ht="12.75">
      <c r="A9" s="31" t="s">
        <v>1131</v>
      </c>
      <c r="B9" s="32">
        <v>11</v>
      </c>
      <c r="C9" s="30" t="s">
        <v>1129</v>
      </c>
      <c r="D9" s="227" t="s">
        <v>1132</v>
      </c>
      <c r="E9" s="227"/>
      <c r="F9" s="227"/>
      <c r="G9" s="227"/>
    </row>
    <row r="10" spans="1:17" s="30" customFormat="1" ht="12.75">
      <c r="A10" s="41"/>
      <c r="B10" s="34"/>
      <c r="C10" s="35"/>
      <c r="D10" s="42"/>
      <c r="E10" s="42"/>
      <c r="F10" s="42"/>
      <c r="G10" s="42"/>
    </row>
    <row r="11" spans="1:17" s="30" customFormat="1" ht="13.5" customHeight="1">
      <c r="A11" s="43"/>
      <c r="B11" s="38"/>
      <c r="D11" s="39"/>
      <c r="E11" s="39"/>
      <c r="F11" s="39"/>
      <c r="G11" s="39"/>
    </row>
    <row r="12" spans="1:17" s="30" customFormat="1" ht="12.75" customHeight="1">
      <c r="A12" s="44" t="s">
        <v>1133</v>
      </c>
      <c r="B12" s="32">
        <v>21.89</v>
      </c>
      <c r="C12" s="30" t="s">
        <v>1129</v>
      </c>
      <c r="D12" s="227" t="s">
        <v>1134</v>
      </c>
      <c r="E12" s="227"/>
      <c r="F12" s="227"/>
      <c r="G12" s="227"/>
    </row>
    <row r="13" spans="1:17" s="47" customFormat="1" ht="12.75">
      <c r="A13" s="45"/>
      <c r="B13" s="34"/>
      <c r="C13" s="46"/>
      <c r="D13" s="42"/>
      <c r="E13" s="42"/>
      <c r="F13" s="42"/>
      <c r="G13" s="42"/>
      <c r="K13" s="48"/>
    </row>
    <row r="14" spans="1:17" s="47" customFormat="1" ht="14.25" customHeight="1">
      <c r="A14" s="43"/>
      <c r="B14" s="49"/>
      <c r="C14" s="50"/>
      <c r="D14" s="39"/>
      <c r="E14" s="39"/>
      <c r="F14" s="39"/>
      <c r="G14" s="39"/>
    </row>
    <row r="15" spans="1:17" s="30" customFormat="1" ht="12.75" customHeight="1">
      <c r="A15" s="44" t="s">
        <v>1133</v>
      </c>
      <c r="B15" s="32"/>
      <c r="C15" s="30" t="s">
        <v>1129</v>
      </c>
      <c r="D15" s="227" t="s">
        <v>1135</v>
      </c>
      <c r="E15" s="227"/>
      <c r="F15" s="227"/>
      <c r="G15" s="227"/>
    </row>
    <row r="16" spans="1:17" s="30" customFormat="1" ht="12.75">
      <c r="A16" s="45"/>
      <c r="B16" s="51"/>
      <c r="C16" s="52"/>
      <c r="D16" s="42"/>
      <c r="E16" s="42"/>
      <c r="F16" s="42"/>
      <c r="G16" s="42"/>
    </row>
    <row r="17" spans="1:7" s="47" customFormat="1" ht="12.75" customHeight="1">
      <c r="A17" s="53"/>
      <c r="B17" s="49"/>
      <c r="C17" s="50"/>
      <c r="D17" s="39"/>
      <c r="E17" s="39"/>
      <c r="F17" s="39"/>
      <c r="G17" s="39"/>
    </row>
    <row r="18" spans="1:7" s="30" customFormat="1" ht="12.75">
      <c r="A18" s="31" t="s">
        <v>1136</v>
      </c>
      <c r="B18" s="54">
        <v>4.1825095057034217E-2</v>
      </c>
      <c r="D18" s="227" t="s">
        <v>1137</v>
      </c>
      <c r="E18" s="227"/>
      <c r="F18" s="227"/>
      <c r="G18" s="227"/>
    </row>
    <row r="19" spans="1:7" s="30" customFormat="1" ht="12.75">
      <c r="A19" s="55"/>
      <c r="B19" s="51"/>
      <c r="C19" s="52"/>
      <c r="D19" s="42"/>
      <c r="E19" s="42"/>
      <c r="F19" s="42"/>
      <c r="G19" s="42"/>
    </row>
    <row r="20" spans="1:7" s="30" customFormat="1" ht="12.75" customHeight="1">
      <c r="A20" s="56"/>
      <c r="B20" s="26"/>
      <c r="C20" s="27"/>
      <c r="D20" s="39"/>
      <c r="E20" s="39"/>
      <c r="F20" s="39"/>
      <c r="G20" s="39"/>
    </row>
    <row r="21" spans="1:7" s="30" customFormat="1" ht="12.75">
      <c r="A21" s="31" t="s">
        <v>1138</v>
      </c>
      <c r="B21" s="54">
        <v>8.3231939163498095E-2</v>
      </c>
      <c r="D21" s="227" t="s">
        <v>1139</v>
      </c>
      <c r="E21" s="227"/>
      <c r="F21" s="227"/>
      <c r="G21" s="227"/>
    </row>
    <row r="22" spans="1:7" s="30" customFormat="1" ht="12.75">
      <c r="A22" s="57"/>
      <c r="B22" s="58"/>
      <c r="C22" s="59"/>
      <c r="D22" s="42"/>
      <c r="E22" s="42"/>
      <c r="F22" s="42"/>
      <c r="G22" s="42"/>
    </row>
    <row r="23" spans="1:7" s="30" customFormat="1" ht="13.5" customHeight="1">
      <c r="A23" s="60"/>
      <c r="B23" s="61"/>
      <c r="C23" s="62"/>
      <c r="D23" s="63"/>
      <c r="E23" s="63"/>
      <c r="F23" s="63"/>
      <c r="G23" s="63"/>
    </row>
    <row r="24" spans="1:7" s="30" customFormat="1" ht="12.75">
      <c r="A24" s="31" t="s">
        <v>1140</v>
      </c>
      <c r="B24" s="64">
        <f>ACTUAL_RATE-PLANNED_RATE</f>
        <v>4.1406844106463878E-2</v>
      </c>
      <c r="D24" s="228" t="s">
        <v>1141</v>
      </c>
      <c r="E24" s="228"/>
      <c r="F24" s="228"/>
      <c r="G24" s="228"/>
    </row>
    <row r="25" spans="1:7" s="30" customFormat="1" ht="12.75">
      <c r="A25" s="65"/>
      <c r="B25" s="66"/>
      <c r="C25" s="67"/>
      <c r="D25" s="68"/>
      <c r="E25" s="68"/>
      <c r="F25" s="68"/>
      <c r="G25" s="68"/>
    </row>
    <row r="26" spans="1:7" s="71" customFormat="1">
      <c r="A26" s="69"/>
      <c r="B26" s="70"/>
    </row>
    <row r="27" spans="1:7">
      <c r="B27" s="73"/>
      <c r="G27" s="72"/>
    </row>
    <row r="28" spans="1:7">
      <c r="B28" s="75"/>
    </row>
    <row r="29" spans="1:7">
      <c r="B29" s="75"/>
    </row>
    <row r="30" spans="1:7">
      <c r="B30" s="76"/>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F29"/>
  <sheetViews>
    <sheetView showGridLines="0" zoomScale="80" zoomScaleNormal="80" workbookViewId="0">
      <pane ySplit="1" topLeftCell="A2" activePane="bottomLeft" state="frozen"/>
      <selection pane="bottomLeft"/>
    </sheetView>
  </sheetViews>
  <sheetFormatPr defaultColWidth="9.125" defaultRowHeight="15"/>
  <cols>
    <col min="1" max="1" width="1.625" style="202" customWidth="1"/>
    <col min="2" max="3" width="10.625" style="202" bestFit="1" customWidth="1"/>
    <col min="4" max="4" width="9.125" style="202"/>
    <col min="5" max="5" width="10.625" style="202" customWidth="1"/>
    <col min="6" max="16384" width="9.125" style="202"/>
  </cols>
  <sheetData>
    <row r="1" spans="2:6" ht="36.950000000000003" customHeight="1">
      <c r="B1" s="77" t="s">
        <v>1142</v>
      </c>
    </row>
    <row r="2" spans="2:6">
      <c r="B2" s="202" t="s">
        <v>1143</v>
      </c>
    </row>
    <row r="3" spans="2:6">
      <c r="B3" s="202" t="s">
        <v>1144</v>
      </c>
    </row>
    <row r="6" spans="2:6" ht="30">
      <c r="B6" s="78" t="s">
        <v>1145</v>
      </c>
      <c r="C6" s="174" t="s">
        <v>1146</v>
      </c>
      <c r="D6" s="174" t="s">
        <v>488</v>
      </c>
      <c r="E6" s="174" t="s">
        <v>1147</v>
      </c>
      <c r="F6" s="201" t="s">
        <v>1148</v>
      </c>
    </row>
    <row r="7" spans="2:6">
      <c r="B7" s="197">
        <v>43375</v>
      </c>
      <c r="C7" s="197">
        <v>43379</v>
      </c>
      <c r="D7" s="198">
        <v>1</v>
      </c>
      <c r="E7" s="198">
        <f>D7</f>
        <v>1</v>
      </c>
      <c r="F7" s="203">
        <f t="shared" ref="F7:F28" si="0">E7/$D$29</f>
        <v>3.8022813688212928E-3</v>
      </c>
    </row>
    <row r="8" spans="2:6">
      <c r="B8" s="199">
        <v>43380</v>
      </c>
      <c r="C8" s="199">
        <v>43386</v>
      </c>
      <c r="D8" s="200">
        <v>10</v>
      </c>
      <c r="E8" s="200">
        <f>E7+D8</f>
        <v>11</v>
      </c>
      <c r="F8" s="204">
        <f t="shared" si="0"/>
        <v>4.1825095057034217E-2</v>
      </c>
    </row>
    <row r="9" spans="2:6">
      <c r="B9" s="199">
        <v>43387</v>
      </c>
      <c r="C9" s="199">
        <v>43393</v>
      </c>
      <c r="D9" s="200">
        <v>15</v>
      </c>
      <c r="E9" s="200">
        <f t="shared" ref="E9:E28" si="1">E8+D9</f>
        <v>26</v>
      </c>
      <c r="F9" s="204">
        <f t="shared" si="0"/>
        <v>9.8859315589353611E-2</v>
      </c>
    </row>
    <row r="10" spans="2:6">
      <c r="B10" s="199">
        <v>43394</v>
      </c>
      <c r="C10" s="199">
        <v>43400</v>
      </c>
      <c r="D10" s="200">
        <v>10</v>
      </c>
      <c r="E10" s="200">
        <f t="shared" si="1"/>
        <v>36</v>
      </c>
      <c r="F10" s="204">
        <f t="shared" si="0"/>
        <v>0.13688212927756654</v>
      </c>
    </row>
    <row r="11" spans="2:6">
      <c r="B11" s="199">
        <v>43401</v>
      </c>
      <c r="C11" s="199">
        <v>43407</v>
      </c>
      <c r="D11" s="200">
        <v>9</v>
      </c>
      <c r="E11" s="200">
        <f t="shared" si="1"/>
        <v>45</v>
      </c>
      <c r="F11" s="204">
        <f t="shared" si="0"/>
        <v>0.17110266159695817</v>
      </c>
    </row>
    <row r="12" spans="2:6">
      <c r="B12" s="199">
        <v>43408</v>
      </c>
      <c r="C12" s="199">
        <v>43414</v>
      </c>
      <c r="D12" s="200">
        <v>12</v>
      </c>
      <c r="E12" s="200">
        <f t="shared" si="1"/>
        <v>57</v>
      </c>
      <c r="F12" s="204">
        <f t="shared" si="0"/>
        <v>0.21673003802281368</v>
      </c>
    </row>
    <row r="13" spans="2:6">
      <c r="B13" s="199">
        <v>43415</v>
      </c>
      <c r="C13" s="199">
        <v>43421</v>
      </c>
      <c r="D13" s="200">
        <v>14</v>
      </c>
      <c r="E13" s="200">
        <f t="shared" si="1"/>
        <v>71</v>
      </c>
      <c r="F13" s="204">
        <f t="shared" si="0"/>
        <v>0.26996197718631176</v>
      </c>
    </row>
    <row r="14" spans="2:6">
      <c r="B14" s="199">
        <v>43422</v>
      </c>
      <c r="C14" s="199">
        <v>43428</v>
      </c>
      <c r="D14" s="200">
        <v>7</v>
      </c>
      <c r="E14" s="200">
        <f t="shared" si="1"/>
        <v>78</v>
      </c>
      <c r="F14" s="204">
        <f t="shared" si="0"/>
        <v>0.29657794676806082</v>
      </c>
    </row>
    <row r="15" spans="2:6">
      <c r="B15" s="199">
        <v>43429</v>
      </c>
      <c r="C15" s="199">
        <v>43435</v>
      </c>
      <c r="D15" s="200">
        <v>8</v>
      </c>
      <c r="E15" s="200">
        <f t="shared" si="1"/>
        <v>86</v>
      </c>
      <c r="F15" s="204">
        <f t="shared" si="0"/>
        <v>0.3269961977186312</v>
      </c>
    </row>
    <row r="16" spans="2:6">
      <c r="B16" s="199">
        <v>43436</v>
      </c>
      <c r="C16" s="199">
        <v>43442</v>
      </c>
      <c r="D16" s="200">
        <v>18</v>
      </c>
      <c r="E16" s="200">
        <f t="shared" si="1"/>
        <v>104</v>
      </c>
      <c r="F16" s="204">
        <f t="shared" si="0"/>
        <v>0.39543726235741444</v>
      </c>
    </row>
    <row r="17" spans="2:6">
      <c r="B17" s="199">
        <v>43443</v>
      </c>
      <c r="C17" s="199">
        <v>43449</v>
      </c>
      <c r="D17" s="200">
        <v>18</v>
      </c>
      <c r="E17" s="200">
        <f t="shared" si="1"/>
        <v>122</v>
      </c>
      <c r="F17" s="204">
        <f t="shared" si="0"/>
        <v>0.46387832699619774</v>
      </c>
    </row>
    <row r="18" spans="2:6">
      <c r="B18" s="199">
        <v>43450</v>
      </c>
      <c r="C18" s="199">
        <v>43456</v>
      </c>
      <c r="D18" s="200">
        <v>17</v>
      </c>
      <c r="E18" s="200">
        <f t="shared" si="1"/>
        <v>139</v>
      </c>
      <c r="F18" s="204">
        <f t="shared" si="0"/>
        <v>0.52851711026615966</v>
      </c>
    </row>
    <row r="19" spans="2:6">
      <c r="B19" s="199">
        <v>43457</v>
      </c>
      <c r="C19" s="199">
        <v>43463</v>
      </c>
      <c r="D19" s="200">
        <v>12</v>
      </c>
      <c r="E19" s="200">
        <f t="shared" si="1"/>
        <v>151</v>
      </c>
      <c r="F19" s="204">
        <f t="shared" si="0"/>
        <v>0.57414448669201523</v>
      </c>
    </row>
    <row r="20" spans="2:6">
      <c r="B20" s="199">
        <v>43464</v>
      </c>
      <c r="C20" s="199">
        <v>43470</v>
      </c>
      <c r="D20" s="200">
        <v>14</v>
      </c>
      <c r="E20" s="200">
        <f t="shared" si="1"/>
        <v>165</v>
      </c>
      <c r="F20" s="204">
        <f t="shared" si="0"/>
        <v>0.62737642585551334</v>
      </c>
    </row>
    <row r="21" spans="2:6">
      <c r="B21" s="199">
        <v>43471</v>
      </c>
      <c r="C21" s="199">
        <v>43477</v>
      </c>
      <c r="D21" s="200">
        <v>21</v>
      </c>
      <c r="E21" s="200">
        <f t="shared" si="1"/>
        <v>186</v>
      </c>
      <c r="F21" s="204">
        <f t="shared" si="0"/>
        <v>0.70722433460076051</v>
      </c>
    </row>
    <row r="22" spans="2:6">
      <c r="B22" s="199">
        <v>43478</v>
      </c>
      <c r="C22" s="199">
        <v>43484</v>
      </c>
      <c r="D22" s="200">
        <v>25</v>
      </c>
      <c r="E22" s="200">
        <f t="shared" si="1"/>
        <v>211</v>
      </c>
      <c r="F22" s="204">
        <f t="shared" si="0"/>
        <v>0.80228136882129275</v>
      </c>
    </row>
    <row r="23" spans="2:6">
      <c r="B23" s="199">
        <v>43485</v>
      </c>
      <c r="C23" s="199">
        <v>43491</v>
      </c>
      <c r="D23" s="200">
        <v>25</v>
      </c>
      <c r="E23" s="200">
        <f t="shared" si="1"/>
        <v>236</v>
      </c>
      <c r="F23" s="204">
        <f t="shared" si="0"/>
        <v>0.89733840304182511</v>
      </c>
    </row>
    <row r="24" spans="2:6">
      <c r="B24" s="199">
        <v>43492</v>
      </c>
      <c r="C24" s="199">
        <v>43498</v>
      </c>
      <c r="D24" s="200">
        <v>8</v>
      </c>
      <c r="E24" s="200">
        <f t="shared" si="1"/>
        <v>244</v>
      </c>
      <c r="F24" s="204">
        <f t="shared" si="0"/>
        <v>0.92775665399239549</v>
      </c>
    </row>
    <row r="25" spans="2:6">
      <c r="B25" s="199">
        <v>43499</v>
      </c>
      <c r="C25" s="199">
        <v>43505</v>
      </c>
      <c r="D25" s="200">
        <v>6</v>
      </c>
      <c r="E25" s="200">
        <f t="shared" si="1"/>
        <v>250</v>
      </c>
      <c r="F25" s="204">
        <f t="shared" si="0"/>
        <v>0.95057034220532322</v>
      </c>
    </row>
    <row r="26" spans="2:6">
      <c r="B26" s="199">
        <v>43506</v>
      </c>
      <c r="C26" s="199">
        <v>43512</v>
      </c>
      <c r="D26" s="200">
        <v>4</v>
      </c>
      <c r="E26" s="200">
        <f t="shared" si="1"/>
        <v>254</v>
      </c>
      <c r="F26" s="204">
        <f t="shared" si="0"/>
        <v>0.96577946768060841</v>
      </c>
    </row>
    <row r="27" spans="2:6">
      <c r="B27" s="199">
        <v>43513</v>
      </c>
      <c r="C27" s="199">
        <v>43519</v>
      </c>
      <c r="D27" s="200">
        <v>5</v>
      </c>
      <c r="E27" s="200">
        <f t="shared" si="1"/>
        <v>259</v>
      </c>
      <c r="F27" s="204">
        <f t="shared" si="0"/>
        <v>0.98479087452471481</v>
      </c>
    </row>
    <row r="28" spans="2:6">
      <c r="B28" s="199">
        <v>43520</v>
      </c>
      <c r="C28" s="199">
        <v>43526</v>
      </c>
      <c r="D28" s="200">
        <v>4</v>
      </c>
      <c r="E28" s="200">
        <f t="shared" si="1"/>
        <v>263</v>
      </c>
      <c r="F28" s="204">
        <f t="shared" si="0"/>
        <v>1</v>
      </c>
    </row>
    <row r="29" spans="2:6">
      <c r="C29" s="202" t="s">
        <v>1055</v>
      </c>
      <c r="D29" s="202">
        <f>SUM(D7:D28)</f>
        <v>263</v>
      </c>
    </row>
  </sheetData>
  <sortState xmlns:xlrd2="http://schemas.microsoft.com/office/spreadsheetml/2017/richdata2" ref="A7:M47">
    <sortCondition ref="A7:A49"/>
    <sortCondition ref="B7:B49"/>
  </sortState>
  <dataConsolidate/>
  <phoneticPr fontId="2" type="noConversion"/>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J305"/>
  <sheetViews>
    <sheetView showGridLines="0" zoomScale="85" zoomScaleNormal="85" workbookViewId="0">
      <pane ySplit="1" topLeftCell="A2" activePane="bottomLeft" state="frozenSplit"/>
      <selection pane="bottomLeft" activeCell="E5" sqref="E5"/>
    </sheetView>
  </sheetViews>
  <sheetFormatPr defaultColWidth="10" defaultRowHeight="15"/>
  <cols>
    <col min="1" max="1" width="31.625" style="79" customWidth="1"/>
    <col min="2" max="2" width="14.5" style="79" customWidth="1"/>
    <col min="3" max="3" width="7.625" style="79" customWidth="1"/>
    <col min="4" max="4" width="21.5" style="79" customWidth="1"/>
    <col min="5" max="5" width="14.125" style="79" customWidth="1"/>
    <col min="6" max="6" width="10" style="79"/>
    <col min="7" max="7" width="24.25" style="79" customWidth="1"/>
    <col min="8" max="8" width="18.375" style="79" bestFit="1" customWidth="1"/>
    <col min="9" max="9" width="11.125" style="79" bestFit="1" customWidth="1"/>
    <col min="10" max="10" width="27.375" style="79" bestFit="1" customWidth="1"/>
    <col min="11" max="19" width="10" style="79"/>
    <col min="20" max="23" width="10" style="79" customWidth="1"/>
    <col min="24" max="16384" width="10" style="79"/>
  </cols>
  <sheetData>
    <row r="1" spans="1:9" ht="36.950000000000003" customHeight="1">
      <c r="A1" s="16" t="s">
        <v>1149</v>
      </c>
      <c r="B1" s="16"/>
      <c r="C1" s="16"/>
      <c r="D1" s="16"/>
      <c r="E1" s="16"/>
      <c r="F1" s="16"/>
      <c r="G1" s="16"/>
      <c r="H1" s="16"/>
    </row>
    <row r="2" spans="1:9" s="80" customFormat="1" ht="78.75" customHeight="1">
      <c r="A2" s="232" t="s">
        <v>1150</v>
      </c>
      <c r="B2" s="232"/>
      <c r="C2" s="232"/>
      <c r="D2" s="232"/>
      <c r="E2" s="232"/>
      <c r="F2" s="232"/>
      <c r="G2" s="232"/>
      <c r="H2" s="232"/>
    </row>
    <row r="3" spans="1:9" s="80" customFormat="1" ht="24.75" customHeight="1">
      <c r="A3" s="233" t="s">
        <v>1151</v>
      </c>
      <c r="B3" s="233"/>
      <c r="D3" s="233" t="s">
        <v>1152</v>
      </c>
      <c r="E3" s="233"/>
      <c r="G3" s="233" t="s">
        <v>1153</v>
      </c>
      <c r="H3" s="233"/>
    </row>
    <row r="4" spans="1:9" s="82" customFormat="1" ht="19.5" customHeight="1">
      <c r="A4" s="81" t="s">
        <v>1154</v>
      </c>
      <c r="B4" s="81" t="s">
        <v>1155</v>
      </c>
      <c r="D4" s="81" t="s">
        <v>1154</v>
      </c>
      <c r="E4" s="81" t="s">
        <v>1155</v>
      </c>
      <c r="G4" s="81" t="s">
        <v>1154</v>
      </c>
      <c r="H4" s="81" t="s">
        <v>1155</v>
      </c>
    </row>
    <row r="5" spans="1:9" ht="16.5">
      <c r="A5" s="112" t="s">
        <v>1156</v>
      </c>
      <c r="B5" s="113">
        <v>43101</v>
      </c>
      <c r="C5" s="79" t="str">
        <f t="shared" ref="C5:C68" si="0">IF(B5&gt;0,TEXT(B5,"(aaa)"),"")</f>
        <v>(월)</v>
      </c>
      <c r="D5" s="83"/>
      <c r="E5" s="84"/>
      <c r="F5" s="79" t="str">
        <f t="shared" ref="F5:F68" si="1">IF(E5&gt;0,TEXT(E5,"(aaa)"),"")</f>
        <v/>
      </c>
      <c r="G5" s="83"/>
      <c r="H5" s="84"/>
      <c r="I5" s="79" t="str">
        <f t="shared" ref="I5:I68" si="2">IF(H5&gt;0,TEXT(H5,"(aaa)"),"")</f>
        <v/>
      </c>
    </row>
    <row r="6" spans="1:9" ht="16.5">
      <c r="A6" s="112" t="s">
        <v>1157</v>
      </c>
      <c r="B6" s="113">
        <v>43146</v>
      </c>
      <c r="C6" s="79" t="str">
        <f t="shared" si="0"/>
        <v>(목)</v>
      </c>
      <c r="D6" s="83"/>
      <c r="E6" s="84"/>
      <c r="F6" s="79" t="str">
        <f t="shared" si="1"/>
        <v/>
      </c>
      <c r="G6" s="83"/>
      <c r="H6" s="84"/>
      <c r="I6" s="79" t="str">
        <f t="shared" si="2"/>
        <v/>
      </c>
    </row>
    <row r="7" spans="1:9" ht="16.5">
      <c r="A7" s="112" t="s">
        <v>1158</v>
      </c>
      <c r="B7" s="113">
        <v>43147</v>
      </c>
      <c r="C7" s="79" t="str">
        <f t="shared" si="0"/>
        <v>(금)</v>
      </c>
      <c r="D7" s="83"/>
      <c r="E7" s="84"/>
      <c r="F7" s="79" t="str">
        <f t="shared" si="1"/>
        <v/>
      </c>
      <c r="G7" s="83"/>
      <c r="H7" s="84"/>
      <c r="I7" s="79" t="str">
        <f t="shared" si="2"/>
        <v/>
      </c>
    </row>
    <row r="8" spans="1:9" ht="16.5">
      <c r="A8" s="112" t="s">
        <v>1159</v>
      </c>
      <c r="B8" s="113">
        <v>43160</v>
      </c>
      <c r="C8" s="79" t="str">
        <f t="shared" si="0"/>
        <v>(목)</v>
      </c>
      <c r="D8" s="83"/>
      <c r="E8" s="84"/>
      <c r="F8" s="79" t="str">
        <f t="shared" si="1"/>
        <v/>
      </c>
      <c r="G8" s="83"/>
      <c r="H8" s="84"/>
      <c r="I8" s="79" t="str">
        <f t="shared" si="2"/>
        <v/>
      </c>
    </row>
    <row r="9" spans="1:9" ht="16.5">
      <c r="A9" s="112" t="s">
        <v>1160</v>
      </c>
      <c r="B9" s="113">
        <v>43227</v>
      </c>
      <c r="C9" s="79" t="str">
        <f t="shared" si="0"/>
        <v>(월)</v>
      </c>
      <c r="D9" s="83"/>
      <c r="E9" s="84"/>
      <c r="F9" s="79" t="str">
        <f t="shared" si="1"/>
        <v/>
      </c>
      <c r="G9" s="83"/>
      <c r="H9" s="84"/>
      <c r="I9" s="79" t="str">
        <f t="shared" si="2"/>
        <v/>
      </c>
    </row>
    <row r="10" spans="1:9" ht="16.5">
      <c r="A10" s="112" t="s">
        <v>1161</v>
      </c>
      <c r="B10" s="113">
        <v>43242</v>
      </c>
      <c r="C10" s="79" t="str">
        <f t="shared" si="0"/>
        <v>(화)</v>
      </c>
      <c r="D10" s="83"/>
      <c r="E10" s="84"/>
      <c r="F10" s="79" t="str">
        <f t="shared" si="1"/>
        <v/>
      </c>
      <c r="G10" s="83"/>
      <c r="H10" s="84"/>
      <c r="I10" s="79" t="str">
        <f t="shared" si="2"/>
        <v/>
      </c>
    </row>
    <row r="11" spans="1:9" ht="16.5">
      <c r="A11" s="112" t="s">
        <v>1162</v>
      </c>
      <c r="B11" s="113">
        <v>43257</v>
      </c>
      <c r="C11" s="79" t="str">
        <f t="shared" si="0"/>
        <v>(수)</v>
      </c>
      <c r="D11" s="83"/>
      <c r="E11" s="84"/>
      <c r="F11" s="79" t="str">
        <f t="shared" si="1"/>
        <v/>
      </c>
      <c r="G11" s="83"/>
      <c r="H11" s="84"/>
      <c r="I11" s="79" t="str">
        <f t="shared" si="2"/>
        <v/>
      </c>
    </row>
    <row r="12" spans="1:9" ht="16.5">
      <c r="A12" s="112" t="s">
        <v>1163</v>
      </c>
      <c r="B12" s="113">
        <v>43327</v>
      </c>
      <c r="C12" s="79" t="str">
        <f t="shared" si="0"/>
        <v>(수)</v>
      </c>
      <c r="D12" s="83"/>
      <c r="E12" s="84"/>
      <c r="F12" s="79" t="str">
        <f t="shared" si="1"/>
        <v/>
      </c>
      <c r="G12" s="83"/>
      <c r="H12" s="84"/>
      <c r="I12" s="79" t="str">
        <f t="shared" si="2"/>
        <v/>
      </c>
    </row>
    <row r="13" spans="1:9" ht="16.5">
      <c r="A13" s="112" t="s">
        <v>1164</v>
      </c>
      <c r="B13" s="113">
        <v>43367</v>
      </c>
      <c r="C13" s="79" t="str">
        <f t="shared" si="0"/>
        <v>(월)</v>
      </c>
      <c r="D13" s="83"/>
      <c r="E13" s="84"/>
      <c r="F13" s="79" t="str">
        <f t="shared" si="1"/>
        <v/>
      </c>
      <c r="G13" s="83"/>
      <c r="H13" s="84"/>
      <c r="I13" s="79" t="str">
        <f t="shared" si="2"/>
        <v/>
      </c>
    </row>
    <row r="14" spans="1:9" ht="16.5">
      <c r="A14" s="112" t="s">
        <v>1165</v>
      </c>
      <c r="B14" s="113">
        <v>43368</v>
      </c>
      <c r="C14" s="79" t="str">
        <f t="shared" si="0"/>
        <v>(화)</v>
      </c>
      <c r="D14" s="83"/>
      <c r="E14" s="84"/>
      <c r="F14" s="79" t="str">
        <f t="shared" si="1"/>
        <v/>
      </c>
      <c r="G14" s="83"/>
      <c r="H14" s="84"/>
      <c r="I14" s="79" t="str">
        <f t="shared" si="2"/>
        <v/>
      </c>
    </row>
    <row r="15" spans="1:9" ht="16.5">
      <c r="A15" s="112" t="s">
        <v>1166</v>
      </c>
      <c r="B15" s="113">
        <v>43369</v>
      </c>
      <c r="C15" s="79" t="str">
        <f t="shared" si="0"/>
        <v>(수)</v>
      </c>
      <c r="D15" s="83"/>
      <c r="E15" s="84"/>
      <c r="F15" s="79" t="str">
        <f t="shared" si="1"/>
        <v/>
      </c>
      <c r="G15" s="83"/>
      <c r="H15" s="84"/>
      <c r="I15" s="79" t="str">
        <f t="shared" si="2"/>
        <v/>
      </c>
    </row>
    <row r="16" spans="1:9" ht="16.5">
      <c r="A16" s="112" t="s">
        <v>1167</v>
      </c>
      <c r="B16" s="113">
        <v>43376</v>
      </c>
      <c r="C16" s="79" t="str">
        <f t="shared" si="0"/>
        <v>(수)</v>
      </c>
      <c r="D16" s="83"/>
      <c r="E16" s="84"/>
      <c r="F16" s="79" t="str">
        <f t="shared" si="1"/>
        <v/>
      </c>
      <c r="G16" s="83"/>
      <c r="H16" s="84"/>
      <c r="I16" s="79" t="str">
        <f t="shared" si="2"/>
        <v/>
      </c>
    </row>
    <row r="17" spans="1:10" ht="16.5">
      <c r="A17" s="112" t="s">
        <v>1168</v>
      </c>
      <c r="B17" s="113">
        <v>43382</v>
      </c>
      <c r="C17" s="79" t="str">
        <f t="shared" si="0"/>
        <v>(화)</v>
      </c>
      <c r="D17" s="83"/>
      <c r="E17" s="84"/>
      <c r="F17" s="79" t="str">
        <f t="shared" si="1"/>
        <v/>
      </c>
      <c r="G17" s="83"/>
      <c r="H17" s="84"/>
      <c r="I17" s="79" t="str">
        <f t="shared" si="2"/>
        <v/>
      </c>
    </row>
    <row r="18" spans="1:10" ht="16.5">
      <c r="A18" s="112" t="s">
        <v>1169</v>
      </c>
      <c r="B18" s="113">
        <v>43459</v>
      </c>
      <c r="C18" s="79" t="str">
        <f t="shared" si="0"/>
        <v>(화)</v>
      </c>
      <c r="D18" s="83"/>
      <c r="E18" s="84"/>
      <c r="F18" s="79" t="str">
        <f t="shared" si="1"/>
        <v/>
      </c>
      <c r="G18" s="83"/>
      <c r="H18" s="84"/>
      <c r="I18" s="79" t="str">
        <f t="shared" si="2"/>
        <v/>
      </c>
    </row>
    <row r="19" spans="1:10" ht="16.5">
      <c r="A19" s="112" t="s">
        <v>1170</v>
      </c>
      <c r="B19" s="113">
        <v>43466</v>
      </c>
      <c r="C19" s="79" t="str">
        <f t="shared" si="0"/>
        <v>(화)</v>
      </c>
      <c r="D19" s="83"/>
      <c r="E19" s="84"/>
      <c r="F19" s="79" t="str">
        <f t="shared" si="1"/>
        <v/>
      </c>
      <c r="G19" s="83"/>
      <c r="H19" s="84"/>
      <c r="I19" s="79" t="str">
        <f t="shared" si="2"/>
        <v/>
      </c>
      <c r="J19" s="85"/>
    </row>
    <row r="20" spans="1:10" ht="16.5">
      <c r="A20" s="112" t="s">
        <v>1171</v>
      </c>
      <c r="B20" s="113">
        <v>43500</v>
      </c>
      <c r="C20" s="79" t="str">
        <f t="shared" si="0"/>
        <v>(월)</v>
      </c>
      <c r="D20" s="83"/>
      <c r="E20" s="84"/>
      <c r="F20" s="79" t="str">
        <f t="shared" si="1"/>
        <v/>
      </c>
      <c r="G20" s="83"/>
      <c r="H20" s="84"/>
      <c r="I20" s="79" t="str">
        <f t="shared" si="2"/>
        <v/>
      </c>
      <c r="J20" s="85"/>
    </row>
    <row r="21" spans="1:10" ht="16.5">
      <c r="A21" s="112" t="s">
        <v>1172</v>
      </c>
      <c r="B21" s="113">
        <v>43501</v>
      </c>
      <c r="C21" s="79" t="str">
        <f t="shared" si="0"/>
        <v>(화)</v>
      </c>
      <c r="D21" s="83"/>
      <c r="E21" s="84"/>
      <c r="F21" s="79" t="str">
        <f t="shared" si="1"/>
        <v/>
      </c>
      <c r="G21" s="83"/>
      <c r="H21" s="84"/>
      <c r="I21" s="79" t="str">
        <f t="shared" si="2"/>
        <v/>
      </c>
    </row>
    <row r="22" spans="1:10" ht="16.5">
      <c r="A22" s="112" t="s">
        <v>1171</v>
      </c>
      <c r="B22" s="113">
        <v>43502</v>
      </c>
      <c r="C22" s="79" t="str">
        <f t="shared" si="0"/>
        <v>(수)</v>
      </c>
      <c r="D22" s="83"/>
      <c r="E22" s="84"/>
      <c r="F22" s="79" t="str">
        <f t="shared" si="1"/>
        <v/>
      </c>
      <c r="G22" s="83"/>
      <c r="H22" s="84"/>
      <c r="I22" s="79" t="str">
        <f t="shared" si="2"/>
        <v/>
      </c>
    </row>
    <row r="23" spans="1:10" ht="16.5">
      <c r="A23" s="112" t="s">
        <v>1173</v>
      </c>
      <c r="B23" s="113">
        <v>43525</v>
      </c>
      <c r="C23" s="79" t="str">
        <f t="shared" si="0"/>
        <v>(금)</v>
      </c>
      <c r="D23" s="83"/>
      <c r="E23" s="84"/>
      <c r="F23" s="79" t="str">
        <f t="shared" si="1"/>
        <v/>
      </c>
      <c r="G23" s="83"/>
      <c r="H23" s="84"/>
      <c r="I23" s="79" t="str">
        <f t="shared" si="2"/>
        <v/>
      </c>
    </row>
    <row r="24" spans="1:10" ht="16.5">
      <c r="A24" s="112" t="s">
        <v>1174</v>
      </c>
      <c r="B24" s="113">
        <v>43591</v>
      </c>
      <c r="C24" s="79" t="str">
        <f t="shared" si="0"/>
        <v>(월)</v>
      </c>
      <c r="D24" s="83"/>
      <c r="E24" s="84"/>
      <c r="F24" s="79" t="str">
        <f t="shared" si="1"/>
        <v/>
      </c>
      <c r="G24" s="83"/>
      <c r="H24" s="84"/>
      <c r="I24" s="79" t="str">
        <f t="shared" si="2"/>
        <v/>
      </c>
    </row>
    <row r="25" spans="1:10" ht="16.5">
      <c r="A25" s="112" t="s">
        <v>1175</v>
      </c>
      <c r="B25" s="113">
        <v>43622</v>
      </c>
      <c r="C25" s="79" t="str">
        <f t="shared" si="0"/>
        <v>(목)</v>
      </c>
      <c r="D25" s="83"/>
      <c r="E25" s="84"/>
      <c r="F25" s="79" t="str">
        <f t="shared" si="1"/>
        <v/>
      </c>
      <c r="G25" s="83"/>
      <c r="H25" s="84"/>
      <c r="I25" s="79" t="str">
        <f t="shared" si="2"/>
        <v/>
      </c>
    </row>
    <row r="26" spans="1:10" ht="16.5">
      <c r="A26" s="112" t="s">
        <v>1176</v>
      </c>
      <c r="B26" s="113">
        <v>43692</v>
      </c>
      <c r="C26" s="79" t="str">
        <f t="shared" si="0"/>
        <v>(목)</v>
      </c>
      <c r="D26" s="83"/>
      <c r="E26" s="84"/>
      <c r="F26" s="79" t="str">
        <f t="shared" si="1"/>
        <v/>
      </c>
      <c r="G26" s="83"/>
      <c r="H26" s="84"/>
      <c r="I26" s="79" t="str">
        <f t="shared" si="2"/>
        <v/>
      </c>
    </row>
    <row r="27" spans="1:10" ht="16.5">
      <c r="A27" s="112" t="s">
        <v>1177</v>
      </c>
      <c r="B27" s="113">
        <v>43720</v>
      </c>
      <c r="C27" s="79" t="str">
        <f t="shared" si="0"/>
        <v>(목)</v>
      </c>
      <c r="D27" s="83"/>
      <c r="E27" s="84"/>
      <c r="F27" s="79" t="str">
        <f t="shared" si="1"/>
        <v/>
      </c>
      <c r="G27" s="83"/>
      <c r="H27" s="84"/>
      <c r="I27" s="79" t="str">
        <f t="shared" si="2"/>
        <v/>
      </c>
    </row>
    <row r="28" spans="1:10" ht="16.5">
      <c r="A28" s="112" t="s">
        <v>1178</v>
      </c>
      <c r="B28" s="113">
        <v>43721</v>
      </c>
      <c r="C28" s="79" t="str">
        <f t="shared" si="0"/>
        <v>(금)</v>
      </c>
      <c r="D28" s="83"/>
      <c r="E28" s="84"/>
      <c r="F28" s="79" t="str">
        <f t="shared" si="1"/>
        <v/>
      </c>
      <c r="G28" s="83"/>
      <c r="H28" s="84"/>
      <c r="I28" s="79" t="str">
        <f t="shared" si="2"/>
        <v/>
      </c>
    </row>
    <row r="29" spans="1:10" ht="16.5">
      <c r="A29" s="112" t="s">
        <v>1179</v>
      </c>
      <c r="B29" s="113">
        <v>43741</v>
      </c>
      <c r="C29" s="79" t="str">
        <f t="shared" si="0"/>
        <v>(목)</v>
      </c>
      <c r="D29" s="83"/>
      <c r="E29" s="84"/>
      <c r="F29" s="79" t="str">
        <f t="shared" si="1"/>
        <v/>
      </c>
      <c r="G29" s="83"/>
      <c r="H29" s="84"/>
      <c r="I29" s="79" t="str">
        <f t="shared" si="2"/>
        <v/>
      </c>
    </row>
    <row r="30" spans="1:10" ht="16.5">
      <c r="A30" s="112" t="s">
        <v>1180</v>
      </c>
      <c r="B30" s="113">
        <v>43747</v>
      </c>
      <c r="C30" s="79" t="str">
        <f t="shared" si="0"/>
        <v>(수)</v>
      </c>
      <c r="D30" s="83"/>
      <c r="E30" s="84"/>
      <c r="F30" s="79" t="str">
        <f t="shared" si="1"/>
        <v/>
      </c>
      <c r="G30" s="83"/>
      <c r="H30" s="84"/>
      <c r="I30" s="79" t="str">
        <f t="shared" si="2"/>
        <v/>
      </c>
    </row>
    <row r="31" spans="1:10" ht="16.5">
      <c r="A31" s="112" t="s">
        <v>1181</v>
      </c>
      <c r="B31" s="113">
        <v>43824</v>
      </c>
      <c r="C31" s="79" t="str">
        <f t="shared" si="0"/>
        <v>(수)</v>
      </c>
      <c r="D31" s="83"/>
      <c r="E31" s="84"/>
      <c r="F31" s="79" t="str">
        <f t="shared" si="1"/>
        <v/>
      </c>
      <c r="G31" s="83"/>
      <c r="H31" s="84"/>
      <c r="I31" s="79" t="str">
        <f t="shared" si="2"/>
        <v/>
      </c>
    </row>
    <row r="32" spans="1:10">
      <c r="A32" s="112"/>
      <c r="B32" s="113"/>
      <c r="C32" s="79" t="str">
        <f t="shared" si="0"/>
        <v/>
      </c>
      <c r="D32" s="83"/>
      <c r="E32" s="84"/>
      <c r="F32" s="79" t="str">
        <f t="shared" si="1"/>
        <v/>
      </c>
      <c r="G32" s="83"/>
      <c r="H32" s="84"/>
      <c r="I32" s="79" t="str">
        <f t="shared" si="2"/>
        <v/>
      </c>
    </row>
    <row r="33" spans="1:9">
      <c r="A33" s="112"/>
      <c r="B33" s="113"/>
      <c r="C33" s="79" t="str">
        <f t="shared" si="0"/>
        <v/>
      </c>
      <c r="D33" s="83"/>
      <c r="E33" s="84"/>
      <c r="F33" s="79" t="str">
        <f t="shared" si="1"/>
        <v/>
      </c>
      <c r="G33" s="83"/>
      <c r="H33" s="84"/>
      <c r="I33" s="79" t="str">
        <f t="shared" si="2"/>
        <v/>
      </c>
    </row>
    <row r="34" spans="1:9">
      <c r="A34" s="112"/>
      <c r="B34" s="113"/>
      <c r="C34" s="79" t="str">
        <f t="shared" si="0"/>
        <v/>
      </c>
      <c r="D34" s="83"/>
      <c r="E34" s="84"/>
      <c r="F34" s="79" t="str">
        <f t="shared" si="1"/>
        <v/>
      </c>
      <c r="G34" s="83"/>
      <c r="H34" s="84"/>
      <c r="I34" s="79" t="str">
        <f t="shared" si="2"/>
        <v/>
      </c>
    </row>
    <row r="35" spans="1:9">
      <c r="A35" s="112"/>
      <c r="B35" s="113"/>
      <c r="C35" s="79" t="str">
        <f t="shared" si="0"/>
        <v/>
      </c>
      <c r="D35" s="83"/>
      <c r="E35" s="84"/>
      <c r="F35" s="79" t="str">
        <f t="shared" si="1"/>
        <v/>
      </c>
      <c r="G35" s="83"/>
      <c r="H35" s="84"/>
      <c r="I35" s="79" t="str">
        <f t="shared" si="2"/>
        <v/>
      </c>
    </row>
    <row r="36" spans="1:9">
      <c r="A36" s="112"/>
      <c r="B36" s="113"/>
      <c r="C36" s="79" t="str">
        <f t="shared" si="0"/>
        <v/>
      </c>
      <c r="D36" s="83"/>
      <c r="E36" s="84"/>
      <c r="F36" s="79" t="str">
        <f t="shared" si="1"/>
        <v/>
      </c>
      <c r="G36" s="83"/>
      <c r="H36" s="84"/>
      <c r="I36" s="79" t="str">
        <f t="shared" si="2"/>
        <v/>
      </c>
    </row>
    <row r="37" spans="1:9">
      <c r="A37" s="112"/>
      <c r="B37" s="113"/>
      <c r="C37" s="79" t="str">
        <f t="shared" si="0"/>
        <v/>
      </c>
      <c r="D37" s="83"/>
      <c r="E37" s="84"/>
      <c r="F37" s="79" t="str">
        <f t="shared" si="1"/>
        <v/>
      </c>
      <c r="G37" s="83"/>
      <c r="H37" s="84"/>
      <c r="I37" s="79" t="str">
        <f t="shared" si="2"/>
        <v/>
      </c>
    </row>
    <row r="38" spans="1:9">
      <c r="A38" s="112"/>
      <c r="B38" s="113"/>
      <c r="C38" s="79" t="str">
        <f t="shared" si="0"/>
        <v/>
      </c>
      <c r="D38" s="83"/>
      <c r="E38" s="84"/>
      <c r="F38" s="79" t="str">
        <f t="shared" si="1"/>
        <v/>
      </c>
      <c r="G38" s="83"/>
      <c r="H38" s="84"/>
      <c r="I38" s="79" t="str">
        <f t="shared" si="2"/>
        <v/>
      </c>
    </row>
    <row r="39" spans="1:9">
      <c r="A39" s="112"/>
      <c r="B39" s="113"/>
      <c r="C39" s="79" t="str">
        <f t="shared" si="0"/>
        <v/>
      </c>
      <c r="D39" s="83"/>
      <c r="E39" s="84"/>
      <c r="F39" s="79" t="str">
        <f t="shared" si="1"/>
        <v/>
      </c>
      <c r="G39" s="83"/>
      <c r="H39" s="84"/>
      <c r="I39" s="79" t="str">
        <f t="shared" si="2"/>
        <v/>
      </c>
    </row>
    <row r="40" spans="1:9">
      <c r="A40" s="112"/>
      <c r="B40" s="113"/>
      <c r="C40" s="79" t="str">
        <f t="shared" si="0"/>
        <v/>
      </c>
      <c r="D40" s="83"/>
      <c r="E40" s="84"/>
      <c r="F40" s="79" t="str">
        <f t="shared" si="1"/>
        <v/>
      </c>
      <c r="G40" s="83"/>
      <c r="H40" s="84"/>
      <c r="I40" s="79" t="str">
        <f t="shared" si="2"/>
        <v/>
      </c>
    </row>
    <row r="41" spans="1:9">
      <c r="A41" s="112"/>
      <c r="B41" s="113"/>
      <c r="C41" s="79" t="str">
        <f t="shared" si="0"/>
        <v/>
      </c>
      <c r="D41" s="83"/>
      <c r="E41" s="84"/>
      <c r="F41" s="79" t="str">
        <f t="shared" si="1"/>
        <v/>
      </c>
      <c r="G41" s="83"/>
      <c r="H41" s="84"/>
      <c r="I41" s="79" t="str">
        <f t="shared" si="2"/>
        <v/>
      </c>
    </row>
    <row r="42" spans="1:9">
      <c r="A42" s="112"/>
      <c r="B42" s="113"/>
      <c r="C42" s="79" t="str">
        <f t="shared" si="0"/>
        <v/>
      </c>
      <c r="D42" s="83"/>
      <c r="E42" s="84"/>
      <c r="F42" s="79" t="str">
        <f t="shared" si="1"/>
        <v/>
      </c>
      <c r="G42" s="83"/>
      <c r="H42" s="84"/>
      <c r="I42" s="79" t="str">
        <f t="shared" si="2"/>
        <v/>
      </c>
    </row>
    <row r="43" spans="1:9">
      <c r="A43" s="112"/>
      <c r="B43" s="113"/>
      <c r="C43" s="79" t="str">
        <f t="shared" si="0"/>
        <v/>
      </c>
      <c r="D43" s="83"/>
      <c r="E43" s="84"/>
      <c r="F43" s="79" t="str">
        <f t="shared" si="1"/>
        <v/>
      </c>
      <c r="G43" s="83"/>
      <c r="H43" s="84"/>
      <c r="I43" s="79" t="str">
        <f t="shared" si="2"/>
        <v/>
      </c>
    </row>
    <row r="44" spans="1:9">
      <c r="A44" s="112"/>
      <c r="B44" s="113"/>
      <c r="C44" s="79" t="str">
        <f t="shared" si="0"/>
        <v/>
      </c>
      <c r="D44" s="83"/>
      <c r="E44" s="84"/>
      <c r="F44" s="79" t="str">
        <f t="shared" si="1"/>
        <v/>
      </c>
      <c r="G44" s="83"/>
      <c r="H44" s="84"/>
      <c r="I44" s="79" t="str">
        <f t="shared" si="2"/>
        <v/>
      </c>
    </row>
    <row r="45" spans="1:9">
      <c r="A45" s="112"/>
      <c r="B45" s="113"/>
      <c r="C45" s="79" t="str">
        <f t="shared" si="0"/>
        <v/>
      </c>
      <c r="D45" s="83"/>
      <c r="E45" s="84"/>
      <c r="F45" s="79" t="str">
        <f t="shared" si="1"/>
        <v/>
      </c>
      <c r="G45" s="83"/>
      <c r="H45" s="84"/>
      <c r="I45" s="79" t="str">
        <f t="shared" si="2"/>
        <v/>
      </c>
    </row>
    <row r="46" spans="1:9">
      <c r="A46" s="112"/>
      <c r="B46" s="113"/>
      <c r="C46" s="79" t="str">
        <f t="shared" si="0"/>
        <v/>
      </c>
      <c r="D46" s="83"/>
      <c r="E46" s="84"/>
      <c r="F46" s="79" t="str">
        <f t="shared" si="1"/>
        <v/>
      </c>
      <c r="G46" s="83"/>
      <c r="H46" s="84"/>
      <c r="I46" s="79" t="str">
        <f t="shared" si="2"/>
        <v/>
      </c>
    </row>
    <row r="47" spans="1:9">
      <c r="A47" s="112"/>
      <c r="B47" s="113"/>
      <c r="C47" s="79" t="str">
        <f t="shared" si="0"/>
        <v/>
      </c>
      <c r="D47" s="83"/>
      <c r="E47" s="84"/>
      <c r="F47" s="79" t="str">
        <f t="shared" si="1"/>
        <v/>
      </c>
      <c r="G47" s="83"/>
      <c r="H47" s="84"/>
      <c r="I47" s="79" t="str">
        <f t="shared" si="2"/>
        <v/>
      </c>
    </row>
    <row r="48" spans="1:9">
      <c r="A48" s="112"/>
      <c r="B48" s="113"/>
      <c r="C48" s="79" t="str">
        <f t="shared" si="0"/>
        <v/>
      </c>
      <c r="D48" s="83"/>
      <c r="E48" s="84"/>
      <c r="F48" s="79" t="str">
        <f t="shared" si="1"/>
        <v/>
      </c>
      <c r="G48" s="83"/>
      <c r="H48" s="84"/>
      <c r="I48" s="79" t="str">
        <f t="shared" si="2"/>
        <v/>
      </c>
    </row>
    <row r="49" spans="1:9">
      <c r="A49" s="112"/>
      <c r="B49" s="113"/>
      <c r="C49" s="79" t="str">
        <f t="shared" si="0"/>
        <v/>
      </c>
      <c r="D49" s="83"/>
      <c r="E49" s="84"/>
      <c r="F49" s="79" t="str">
        <f t="shared" si="1"/>
        <v/>
      </c>
      <c r="G49" s="83"/>
      <c r="H49" s="84"/>
      <c r="I49" s="79" t="str">
        <f t="shared" si="2"/>
        <v/>
      </c>
    </row>
    <row r="50" spans="1:9">
      <c r="A50" s="112"/>
      <c r="B50" s="113"/>
      <c r="C50" s="79" t="str">
        <f t="shared" si="0"/>
        <v/>
      </c>
      <c r="D50" s="83"/>
      <c r="E50" s="84"/>
      <c r="F50" s="79" t="str">
        <f t="shared" si="1"/>
        <v/>
      </c>
      <c r="G50" s="83"/>
      <c r="H50" s="84"/>
      <c r="I50" s="79" t="str">
        <f t="shared" si="2"/>
        <v/>
      </c>
    </row>
    <row r="51" spans="1:9">
      <c r="A51" s="112"/>
      <c r="B51" s="113"/>
      <c r="C51" s="79" t="str">
        <f t="shared" si="0"/>
        <v/>
      </c>
      <c r="D51" s="83"/>
      <c r="E51" s="84"/>
      <c r="F51" s="79" t="str">
        <f t="shared" si="1"/>
        <v/>
      </c>
      <c r="G51" s="83"/>
      <c r="H51" s="84"/>
      <c r="I51" s="79" t="str">
        <f t="shared" si="2"/>
        <v/>
      </c>
    </row>
    <row r="52" spans="1:9">
      <c r="A52" s="112"/>
      <c r="B52" s="113"/>
      <c r="C52" s="79" t="str">
        <f t="shared" si="0"/>
        <v/>
      </c>
      <c r="D52" s="83"/>
      <c r="E52" s="84"/>
      <c r="F52" s="79" t="str">
        <f t="shared" si="1"/>
        <v/>
      </c>
      <c r="G52" s="83"/>
      <c r="H52" s="84"/>
      <c r="I52" s="79" t="str">
        <f t="shared" si="2"/>
        <v/>
      </c>
    </row>
    <row r="53" spans="1:9">
      <c r="A53" s="112"/>
      <c r="B53" s="113"/>
      <c r="C53" s="79" t="str">
        <f t="shared" si="0"/>
        <v/>
      </c>
      <c r="D53" s="83"/>
      <c r="E53" s="84"/>
      <c r="F53" s="79" t="str">
        <f t="shared" si="1"/>
        <v/>
      </c>
      <c r="G53" s="83"/>
      <c r="H53" s="84"/>
      <c r="I53" s="79" t="str">
        <f t="shared" si="2"/>
        <v/>
      </c>
    </row>
    <row r="54" spans="1:9">
      <c r="A54" s="112"/>
      <c r="B54" s="113"/>
      <c r="C54" s="79" t="str">
        <f t="shared" si="0"/>
        <v/>
      </c>
      <c r="D54" s="83"/>
      <c r="E54" s="84"/>
      <c r="F54" s="79" t="str">
        <f t="shared" si="1"/>
        <v/>
      </c>
      <c r="G54" s="83"/>
      <c r="H54" s="84"/>
      <c r="I54" s="79" t="str">
        <f t="shared" si="2"/>
        <v/>
      </c>
    </row>
    <row r="55" spans="1:9">
      <c r="A55" s="112"/>
      <c r="B55" s="113"/>
      <c r="C55" s="79" t="str">
        <f t="shared" si="0"/>
        <v/>
      </c>
      <c r="D55" s="83"/>
      <c r="E55" s="84"/>
      <c r="F55" s="79" t="str">
        <f t="shared" si="1"/>
        <v/>
      </c>
      <c r="G55" s="83"/>
      <c r="H55" s="84"/>
      <c r="I55" s="79" t="str">
        <f t="shared" si="2"/>
        <v/>
      </c>
    </row>
    <row r="56" spans="1:9">
      <c r="A56" s="112"/>
      <c r="B56" s="113"/>
      <c r="C56" s="79" t="str">
        <f t="shared" si="0"/>
        <v/>
      </c>
      <c r="D56" s="83"/>
      <c r="E56" s="84"/>
      <c r="F56" s="79" t="str">
        <f t="shared" si="1"/>
        <v/>
      </c>
      <c r="G56" s="83"/>
      <c r="H56" s="84"/>
      <c r="I56" s="79" t="str">
        <f t="shared" si="2"/>
        <v/>
      </c>
    </row>
    <row r="57" spans="1:9">
      <c r="A57" s="112"/>
      <c r="B57" s="113"/>
      <c r="C57" s="79" t="str">
        <f t="shared" si="0"/>
        <v/>
      </c>
      <c r="D57" s="83"/>
      <c r="E57" s="84"/>
      <c r="F57" s="79" t="str">
        <f t="shared" si="1"/>
        <v/>
      </c>
      <c r="G57" s="83"/>
      <c r="H57" s="84"/>
      <c r="I57" s="79" t="str">
        <f t="shared" si="2"/>
        <v/>
      </c>
    </row>
    <row r="58" spans="1:9">
      <c r="A58" s="112"/>
      <c r="B58" s="113"/>
      <c r="C58" s="79" t="str">
        <f t="shared" si="0"/>
        <v/>
      </c>
      <c r="D58" s="83"/>
      <c r="E58" s="84"/>
      <c r="F58" s="79" t="str">
        <f t="shared" si="1"/>
        <v/>
      </c>
      <c r="G58" s="83"/>
      <c r="H58" s="84"/>
      <c r="I58" s="79" t="str">
        <f t="shared" si="2"/>
        <v/>
      </c>
    </row>
    <row r="59" spans="1:9">
      <c r="A59" s="112"/>
      <c r="B59" s="113"/>
      <c r="C59" s="79" t="str">
        <f t="shared" si="0"/>
        <v/>
      </c>
      <c r="D59" s="83"/>
      <c r="E59" s="84"/>
      <c r="F59" s="79" t="str">
        <f t="shared" si="1"/>
        <v/>
      </c>
      <c r="G59" s="83"/>
      <c r="H59" s="84"/>
      <c r="I59" s="79" t="str">
        <f t="shared" si="2"/>
        <v/>
      </c>
    </row>
    <row r="60" spans="1:9">
      <c r="A60" s="112"/>
      <c r="B60" s="113"/>
      <c r="C60" s="79" t="str">
        <f t="shared" si="0"/>
        <v/>
      </c>
      <c r="D60" s="83"/>
      <c r="E60" s="84"/>
      <c r="F60" s="79" t="str">
        <f t="shared" si="1"/>
        <v/>
      </c>
      <c r="G60" s="83"/>
      <c r="H60" s="84"/>
      <c r="I60" s="79" t="str">
        <f t="shared" si="2"/>
        <v/>
      </c>
    </row>
    <row r="61" spans="1:9">
      <c r="A61" s="112"/>
      <c r="B61" s="113"/>
      <c r="C61" s="79" t="str">
        <f t="shared" si="0"/>
        <v/>
      </c>
      <c r="D61" s="83"/>
      <c r="E61" s="84"/>
      <c r="F61" s="79" t="str">
        <f t="shared" si="1"/>
        <v/>
      </c>
      <c r="G61" s="83"/>
      <c r="H61" s="84"/>
      <c r="I61" s="79" t="str">
        <f t="shared" si="2"/>
        <v/>
      </c>
    </row>
    <row r="62" spans="1:9">
      <c r="A62" s="112"/>
      <c r="B62" s="113"/>
      <c r="C62" s="79" t="str">
        <f t="shared" si="0"/>
        <v/>
      </c>
      <c r="D62" s="83"/>
      <c r="E62" s="84"/>
      <c r="F62" s="79" t="str">
        <f t="shared" si="1"/>
        <v/>
      </c>
      <c r="G62" s="83"/>
      <c r="H62" s="84"/>
      <c r="I62" s="79" t="str">
        <f t="shared" si="2"/>
        <v/>
      </c>
    </row>
    <row r="63" spans="1:9">
      <c r="A63" s="112"/>
      <c r="B63" s="113"/>
      <c r="C63" s="79" t="str">
        <f t="shared" si="0"/>
        <v/>
      </c>
      <c r="D63" s="83"/>
      <c r="E63" s="84"/>
      <c r="F63" s="79" t="str">
        <f t="shared" si="1"/>
        <v/>
      </c>
      <c r="G63" s="83"/>
      <c r="H63" s="84"/>
      <c r="I63" s="79" t="str">
        <f t="shared" si="2"/>
        <v/>
      </c>
    </row>
    <row r="64" spans="1:9">
      <c r="A64" s="112"/>
      <c r="B64" s="113"/>
      <c r="C64" s="79" t="str">
        <f t="shared" si="0"/>
        <v/>
      </c>
      <c r="D64" s="83"/>
      <c r="E64" s="84"/>
      <c r="F64" s="79" t="str">
        <f t="shared" si="1"/>
        <v/>
      </c>
      <c r="G64" s="83"/>
      <c r="H64" s="84"/>
      <c r="I64" s="79" t="str">
        <f t="shared" si="2"/>
        <v/>
      </c>
    </row>
    <row r="65" spans="1:9">
      <c r="A65" s="112"/>
      <c r="B65" s="113"/>
      <c r="C65" s="79" t="str">
        <f t="shared" si="0"/>
        <v/>
      </c>
      <c r="D65" s="83"/>
      <c r="E65" s="84"/>
      <c r="F65" s="79" t="str">
        <f t="shared" si="1"/>
        <v/>
      </c>
      <c r="G65" s="83"/>
      <c r="H65" s="84"/>
      <c r="I65" s="79" t="str">
        <f t="shared" si="2"/>
        <v/>
      </c>
    </row>
    <row r="66" spans="1:9">
      <c r="A66" s="112"/>
      <c r="B66" s="113"/>
      <c r="C66" s="79" t="str">
        <f t="shared" si="0"/>
        <v/>
      </c>
      <c r="D66" s="83"/>
      <c r="E66" s="84"/>
      <c r="F66" s="79" t="str">
        <f t="shared" si="1"/>
        <v/>
      </c>
      <c r="G66" s="83"/>
      <c r="H66" s="84"/>
      <c r="I66" s="79" t="str">
        <f t="shared" si="2"/>
        <v/>
      </c>
    </row>
    <row r="67" spans="1:9">
      <c r="A67" s="112"/>
      <c r="B67" s="113"/>
      <c r="C67" s="79" t="str">
        <f t="shared" si="0"/>
        <v/>
      </c>
      <c r="D67" s="83"/>
      <c r="E67" s="84"/>
      <c r="F67" s="79" t="str">
        <f t="shared" si="1"/>
        <v/>
      </c>
      <c r="G67" s="83"/>
      <c r="H67" s="84"/>
      <c r="I67" s="79" t="str">
        <f t="shared" si="2"/>
        <v/>
      </c>
    </row>
    <row r="68" spans="1:9">
      <c r="A68" s="112"/>
      <c r="B68" s="113"/>
      <c r="C68" s="79" t="str">
        <f t="shared" si="0"/>
        <v/>
      </c>
      <c r="D68" s="83"/>
      <c r="E68" s="84"/>
      <c r="F68" s="79" t="str">
        <f t="shared" si="1"/>
        <v/>
      </c>
      <c r="G68" s="83"/>
      <c r="H68" s="84"/>
      <c r="I68" s="79" t="str">
        <f t="shared" si="2"/>
        <v/>
      </c>
    </row>
    <row r="69" spans="1:9">
      <c r="A69" s="112"/>
      <c r="B69" s="113"/>
      <c r="C69" s="79" t="str">
        <f t="shared" ref="C69:C132" si="3">IF(B69&gt;0,TEXT(B69,"(aaa)"),"")</f>
        <v/>
      </c>
      <c r="D69" s="83"/>
      <c r="E69" s="84"/>
      <c r="F69" s="79" t="str">
        <f t="shared" ref="F69:F132" si="4">IF(E69&gt;0,TEXT(E69,"(aaa)"),"")</f>
        <v/>
      </c>
      <c r="G69" s="83"/>
      <c r="H69" s="84"/>
      <c r="I69" s="79" t="str">
        <f t="shared" ref="I69:I132" si="5">IF(H69&gt;0,TEXT(H69,"(aaa)"),"")</f>
        <v/>
      </c>
    </row>
    <row r="70" spans="1:9">
      <c r="A70" s="112"/>
      <c r="B70" s="113"/>
      <c r="C70" s="79" t="str">
        <f t="shared" si="3"/>
        <v/>
      </c>
      <c r="D70" s="83"/>
      <c r="E70" s="84"/>
      <c r="F70" s="79" t="str">
        <f t="shared" si="4"/>
        <v/>
      </c>
      <c r="G70" s="83"/>
      <c r="H70" s="84"/>
      <c r="I70" s="79" t="str">
        <f t="shared" si="5"/>
        <v/>
      </c>
    </row>
    <row r="71" spans="1:9">
      <c r="A71" s="112"/>
      <c r="B71" s="113"/>
      <c r="C71" s="79" t="str">
        <f t="shared" si="3"/>
        <v/>
      </c>
      <c r="D71" s="83"/>
      <c r="E71" s="84"/>
      <c r="F71" s="79" t="str">
        <f t="shared" si="4"/>
        <v/>
      </c>
      <c r="G71" s="83"/>
      <c r="H71" s="84"/>
      <c r="I71" s="79" t="str">
        <f t="shared" si="5"/>
        <v/>
      </c>
    </row>
    <row r="72" spans="1:9">
      <c r="A72" s="112"/>
      <c r="B72" s="113"/>
      <c r="C72" s="79" t="str">
        <f t="shared" si="3"/>
        <v/>
      </c>
      <c r="D72" s="83"/>
      <c r="E72" s="84"/>
      <c r="F72" s="79" t="str">
        <f t="shared" si="4"/>
        <v/>
      </c>
      <c r="G72" s="83"/>
      <c r="H72" s="84"/>
      <c r="I72" s="79" t="str">
        <f t="shared" si="5"/>
        <v/>
      </c>
    </row>
    <row r="73" spans="1:9">
      <c r="A73" s="112"/>
      <c r="B73" s="113"/>
      <c r="C73" s="79" t="str">
        <f t="shared" si="3"/>
        <v/>
      </c>
      <c r="D73" s="83"/>
      <c r="E73" s="84"/>
      <c r="F73" s="79" t="str">
        <f t="shared" si="4"/>
        <v/>
      </c>
      <c r="G73" s="83"/>
      <c r="H73" s="84"/>
      <c r="I73" s="79" t="str">
        <f t="shared" si="5"/>
        <v/>
      </c>
    </row>
    <row r="74" spans="1:9">
      <c r="A74" s="112"/>
      <c r="B74" s="113"/>
      <c r="C74" s="79" t="str">
        <f t="shared" si="3"/>
        <v/>
      </c>
      <c r="D74" s="83"/>
      <c r="E74" s="84"/>
      <c r="F74" s="79" t="str">
        <f t="shared" si="4"/>
        <v/>
      </c>
      <c r="G74" s="83"/>
      <c r="H74" s="84"/>
      <c r="I74" s="79" t="str">
        <f t="shared" si="5"/>
        <v/>
      </c>
    </row>
    <row r="75" spans="1:9">
      <c r="A75" s="112"/>
      <c r="B75" s="113"/>
      <c r="C75" s="79" t="str">
        <f t="shared" si="3"/>
        <v/>
      </c>
      <c r="D75" s="83"/>
      <c r="E75" s="84"/>
      <c r="F75" s="79" t="str">
        <f t="shared" si="4"/>
        <v/>
      </c>
      <c r="G75" s="83"/>
      <c r="H75" s="84"/>
      <c r="I75" s="79" t="str">
        <f t="shared" si="5"/>
        <v/>
      </c>
    </row>
    <row r="76" spans="1:9">
      <c r="A76" s="112"/>
      <c r="B76" s="113"/>
      <c r="C76" s="79" t="str">
        <f t="shared" si="3"/>
        <v/>
      </c>
      <c r="D76" s="83"/>
      <c r="E76" s="84"/>
      <c r="F76" s="79" t="str">
        <f t="shared" si="4"/>
        <v/>
      </c>
      <c r="G76" s="83"/>
      <c r="H76" s="84"/>
      <c r="I76" s="79" t="str">
        <f t="shared" si="5"/>
        <v/>
      </c>
    </row>
    <row r="77" spans="1:9">
      <c r="A77" s="112"/>
      <c r="B77" s="113"/>
      <c r="C77" s="79" t="str">
        <f t="shared" si="3"/>
        <v/>
      </c>
      <c r="D77" s="83"/>
      <c r="E77" s="84"/>
      <c r="F77" s="79" t="str">
        <f t="shared" si="4"/>
        <v/>
      </c>
      <c r="G77" s="83"/>
      <c r="H77" s="84"/>
      <c r="I77" s="79" t="str">
        <f t="shared" si="5"/>
        <v/>
      </c>
    </row>
    <row r="78" spans="1:9">
      <c r="A78" s="112"/>
      <c r="B78" s="113"/>
      <c r="C78" s="79" t="str">
        <f t="shared" si="3"/>
        <v/>
      </c>
      <c r="D78" s="83"/>
      <c r="E78" s="84"/>
      <c r="F78" s="79" t="str">
        <f t="shared" si="4"/>
        <v/>
      </c>
      <c r="G78" s="83"/>
      <c r="H78" s="84"/>
      <c r="I78" s="79" t="str">
        <f t="shared" si="5"/>
        <v/>
      </c>
    </row>
    <row r="79" spans="1:9">
      <c r="A79" s="112"/>
      <c r="B79" s="113"/>
      <c r="C79" s="79" t="str">
        <f t="shared" si="3"/>
        <v/>
      </c>
      <c r="D79" s="83"/>
      <c r="E79" s="84"/>
      <c r="F79" s="79" t="str">
        <f t="shared" si="4"/>
        <v/>
      </c>
      <c r="G79" s="83"/>
      <c r="H79" s="84"/>
      <c r="I79" s="79" t="str">
        <f t="shared" si="5"/>
        <v/>
      </c>
    </row>
    <row r="80" spans="1:9">
      <c r="A80" s="112"/>
      <c r="B80" s="113"/>
      <c r="C80" s="79" t="str">
        <f t="shared" si="3"/>
        <v/>
      </c>
      <c r="D80" s="83"/>
      <c r="E80" s="84"/>
      <c r="F80" s="79" t="str">
        <f t="shared" si="4"/>
        <v/>
      </c>
      <c r="G80" s="83"/>
      <c r="H80" s="84"/>
      <c r="I80" s="79" t="str">
        <f t="shared" si="5"/>
        <v/>
      </c>
    </row>
    <row r="81" spans="1:9">
      <c r="A81" s="112"/>
      <c r="B81" s="113"/>
      <c r="C81" s="79" t="str">
        <f t="shared" si="3"/>
        <v/>
      </c>
      <c r="D81" s="83"/>
      <c r="E81" s="84"/>
      <c r="F81" s="79" t="str">
        <f t="shared" si="4"/>
        <v/>
      </c>
      <c r="G81" s="83"/>
      <c r="H81" s="84"/>
      <c r="I81" s="79" t="str">
        <f t="shared" si="5"/>
        <v/>
      </c>
    </row>
    <row r="82" spans="1:9">
      <c r="A82" s="112"/>
      <c r="B82" s="113"/>
      <c r="C82" s="79" t="str">
        <f t="shared" si="3"/>
        <v/>
      </c>
      <c r="D82" s="83"/>
      <c r="E82" s="84"/>
      <c r="F82" s="79" t="str">
        <f t="shared" si="4"/>
        <v/>
      </c>
      <c r="G82" s="83"/>
      <c r="H82" s="84"/>
      <c r="I82" s="79" t="str">
        <f t="shared" si="5"/>
        <v/>
      </c>
    </row>
    <row r="83" spans="1:9">
      <c r="A83" s="112"/>
      <c r="B83" s="113"/>
      <c r="C83" s="79" t="str">
        <f t="shared" si="3"/>
        <v/>
      </c>
      <c r="D83" s="83"/>
      <c r="E83" s="84"/>
      <c r="F83" s="79" t="str">
        <f t="shared" si="4"/>
        <v/>
      </c>
      <c r="G83" s="83"/>
      <c r="H83" s="84"/>
      <c r="I83" s="79" t="str">
        <f t="shared" si="5"/>
        <v/>
      </c>
    </row>
    <row r="84" spans="1:9">
      <c r="A84" s="112"/>
      <c r="B84" s="113"/>
      <c r="C84" s="79" t="str">
        <f t="shared" si="3"/>
        <v/>
      </c>
      <c r="D84" s="83"/>
      <c r="E84" s="84"/>
      <c r="F84" s="79" t="str">
        <f t="shared" si="4"/>
        <v/>
      </c>
      <c r="G84" s="83"/>
      <c r="H84" s="84"/>
      <c r="I84" s="79" t="str">
        <f t="shared" si="5"/>
        <v/>
      </c>
    </row>
    <row r="85" spans="1:9">
      <c r="A85" s="112"/>
      <c r="B85" s="113"/>
      <c r="C85" s="79" t="str">
        <f t="shared" si="3"/>
        <v/>
      </c>
      <c r="D85" s="83"/>
      <c r="E85" s="84"/>
      <c r="F85" s="79" t="str">
        <f t="shared" si="4"/>
        <v/>
      </c>
      <c r="G85" s="83"/>
      <c r="H85" s="84"/>
      <c r="I85" s="79" t="str">
        <f t="shared" si="5"/>
        <v/>
      </c>
    </row>
    <row r="86" spans="1:9">
      <c r="A86" s="112"/>
      <c r="B86" s="113"/>
      <c r="C86" s="79" t="str">
        <f t="shared" si="3"/>
        <v/>
      </c>
      <c r="D86" s="83"/>
      <c r="E86" s="84"/>
      <c r="F86" s="79" t="str">
        <f t="shared" si="4"/>
        <v/>
      </c>
      <c r="G86" s="83"/>
      <c r="H86" s="84"/>
      <c r="I86" s="79" t="str">
        <f t="shared" si="5"/>
        <v/>
      </c>
    </row>
    <row r="87" spans="1:9">
      <c r="A87" s="112"/>
      <c r="B87" s="113"/>
      <c r="C87" s="79" t="str">
        <f t="shared" si="3"/>
        <v/>
      </c>
      <c r="D87" s="83"/>
      <c r="E87" s="84"/>
      <c r="F87" s="79" t="str">
        <f t="shared" si="4"/>
        <v/>
      </c>
      <c r="G87" s="83"/>
      <c r="H87" s="84"/>
      <c r="I87" s="79" t="str">
        <f t="shared" si="5"/>
        <v/>
      </c>
    </row>
    <row r="88" spans="1:9">
      <c r="A88" s="112"/>
      <c r="B88" s="113"/>
      <c r="C88" s="79" t="str">
        <f t="shared" si="3"/>
        <v/>
      </c>
      <c r="D88" s="83"/>
      <c r="E88" s="84"/>
      <c r="F88" s="79" t="str">
        <f t="shared" si="4"/>
        <v/>
      </c>
      <c r="G88" s="83"/>
      <c r="H88" s="84"/>
      <c r="I88" s="79" t="str">
        <f t="shared" si="5"/>
        <v/>
      </c>
    </row>
    <row r="89" spans="1:9">
      <c r="A89" s="112"/>
      <c r="B89" s="113"/>
      <c r="C89" s="79" t="str">
        <f t="shared" si="3"/>
        <v/>
      </c>
      <c r="D89" s="83"/>
      <c r="E89" s="84"/>
      <c r="F89" s="79" t="str">
        <f t="shared" si="4"/>
        <v/>
      </c>
      <c r="G89" s="83"/>
      <c r="H89" s="84"/>
      <c r="I89" s="79" t="str">
        <f t="shared" si="5"/>
        <v/>
      </c>
    </row>
    <row r="90" spans="1:9">
      <c r="A90" s="112"/>
      <c r="B90" s="113"/>
      <c r="C90" s="79" t="str">
        <f t="shared" si="3"/>
        <v/>
      </c>
      <c r="D90" s="83"/>
      <c r="E90" s="84"/>
      <c r="F90" s="79" t="str">
        <f t="shared" si="4"/>
        <v/>
      </c>
      <c r="G90" s="83"/>
      <c r="H90" s="84"/>
      <c r="I90" s="79" t="str">
        <f t="shared" si="5"/>
        <v/>
      </c>
    </row>
    <row r="91" spans="1:9">
      <c r="A91" s="112"/>
      <c r="B91" s="113"/>
      <c r="C91" s="79" t="str">
        <f t="shared" si="3"/>
        <v/>
      </c>
      <c r="D91" s="83"/>
      <c r="E91" s="84"/>
      <c r="F91" s="79" t="str">
        <f t="shared" si="4"/>
        <v/>
      </c>
      <c r="G91" s="83"/>
      <c r="H91" s="84"/>
      <c r="I91" s="79" t="str">
        <f t="shared" si="5"/>
        <v/>
      </c>
    </row>
    <row r="92" spans="1:9">
      <c r="A92" s="112"/>
      <c r="B92" s="113"/>
      <c r="C92" s="79" t="str">
        <f t="shared" si="3"/>
        <v/>
      </c>
      <c r="D92" s="83"/>
      <c r="E92" s="84"/>
      <c r="F92" s="79" t="str">
        <f t="shared" si="4"/>
        <v/>
      </c>
      <c r="G92" s="83"/>
      <c r="H92" s="84"/>
      <c r="I92" s="79" t="str">
        <f t="shared" si="5"/>
        <v/>
      </c>
    </row>
    <row r="93" spans="1:9">
      <c r="A93" s="112"/>
      <c r="B93" s="113"/>
      <c r="C93" s="79" t="str">
        <f t="shared" si="3"/>
        <v/>
      </c>
      <c r="D93" s="83"/>
      <c r="E93" s="84"/>
      <c r="F93" s="79" t="str">
        <f t="shared" si="4"/>
        <v/>
      </c>
      <c r="G93" s="83"/>
      <c r="H93" s="84"/>
      <c r="I93" s="79" t="str">
        <f t="shared" si="5"/>
        <v/>
      </c>
    </row>
    <row r="94" spans="1:9">
      <c r="A94" s="112"/>
      <c r="B94" s="113"/>
      <c r="C94" s="79" t="str">
        <f t="shared" si="3"/>
        <v/>
      </c>
      <c r="D94" s="83"/>
      <c r="E94" s="84"/>
      <c r="F94" s="79" t="str">
        <f t="shared" si="4"/>
        <v/>
      </c>
      <c r="G94" s="83"/>
      <c r="H94" s="84"/>
      <c r="I94" s="79" t="str">
        <f t="shared" si="5"/>
        <v/>
      </c>
    </row>
    <row r="95" spans="1:9">
      <c r="A95" s="112"/>
      <c r="B95" s="113"/>
      <c r="C95" s="79" t="str">
        <f t="shared" si="3"/>
        <v/>
      </c>
      <c r="D95" s="83"/>
      <c r="E95" s="84"/>
      <c r="F95" s="79" t="str">
        <f t="shared" si="4"/>
        <v/>
      </c>
      <c r="G95" s="83"/>
      <c r="H95" s="84"/>
      <c r="I95" s="79" t="str">
        <f t="shared" si="5"/>
        <v/>
      </c>
    </row>
    <row r="96" spans="1:9">
      <c r="A96" s="112"/>
      <c r="B96" s="113"/>
      <c r="C96" s="79" t="str">
        <f t="shared" si="3"/>
        <v/>
      </c>
      <c r="D96" s="83"/>
      <c r="E96" s="84"/>
      <c r="F96" s="79" t="str">
        <f t="shared" si="4"/>
        <v/>
      </c>
      <c r="G96" s="83"/>
      <c r="H96" s="84"/>
      <c r="I96" s="79" t="str">
        <f t="shared" si="5"/>
        <v/>
      </c>
    </row>
    <row r="97" spans="1:9">
      <c r="A97" s="112"/>
      <c r="B97" s="113"/>
      <c r="C97" s="79" t="str">
        <f t="shared" si="3"/>
        <v/>
      </c>
      <c r="D97" s="83"/>
      <c r="E97" s="84"/>
      <c r="F97" s="79" t="str">
        <f t="shared" si="4"/>
        <v/>
      </c>
      <c r="G97" s="83"/>
      <c r="H97" s="84"/>
      <c r="I97" s="79" t="str">
        <f t="shared" si="5"/>
        <v/>
      </c>
    </row>
    <row r="98" spans="1:9">
      <c r="A98" s="112"/>
      <c r="B98" s="113"/>
      <c r="C98" s="79" t="str">
        <f t="shared" si="3"/>
        <v/>
      </c>
      <c r="D98" s="83"/>
      <c r="E98" s="84"/>
      <c r="F98" s="79" t="str">
        <f t="shared" si="4"/>
        <v/>
      </c>
      <c r="G98" s="83"/>
      <c r="H98" s="84"/>
      <c r="I98" s="79" t="str">
        <f t="shared" si="5"/>
        <v/>
      </c>
    </row>
    <row r="99" spans="1:9">
      <c r="A99" s="112"/>
      <c r="B99" s="113"/>
      <c r="C99" s="79" t="str">
        <f t="shared" si="3"/>
        <v/>
      </c>
      <c r="D99" s="83"/>
      <c r="E99" s="84"/>
      <c r="F99" s="79" t="str">
        <f t="shared" si="4"/>
        <v/>
      </c>
      <c r="G99" s="83"/>
      <c r="H99" s="84"/>
      <c r="I99" s="79" t="str">
        <f t="shared" si="5"/>
        <v/>
      </c>
    </row>
    <row r="100" spans="1:9">
      <c r="A100" s="112"/>
      <c r="B100" s="113"/>
      <c r="C100" s="79" t="str">
        <f t="shared" si="3"/>
        <v/>
      </c>
      <c r="D100" s="83"/>
      <c r="E100" s="84"/>
      <c r="F100" s="79" t="str">
        <f t="shared" si="4"/>
        <v/>
      </c>
      <c r="G100" s="83"/>
      <c r="H100" s="84"/>
      <c r="I100" s="79" t="str">
        <f t="shared" si="5"/>
        <v/>
      </c>
    </row>
    <row r="101" spans="1:9">
      <c r="A101" s="112"/>
      <c r="B101" s="113"/>
      <c r="C101" s="79" t="str">
        <f t="shared" si="3"/>
        <v/>
      </c>
      <c r="D101" s="83"/>
      <c r="E101" s="84"/>
      <c r="F101" s="79" t="str">
        <f t="shared" si="4"/>
        <v/>
      </c>
      <c r="G101" s="83"/>
      <c r="H101" s="84"/>
      <c r="I101" s="79" t="str">
        <f t="shared" si="5"/>
        <v/>
      </c>
    </row>
    <row r="102" spans="1:9">
      <c r="A102" s="112"/>
      <c r="B102" s="113"/>
      <c r="C102" s="79" t="str">
        <f t="shared" si="3"/>
        <v/>
      </c>
      <c r="D102" s="83"/>
      <c r="E102" s="84"/>
      <c r="F102" s="79" t="str">
        <f t="shared" si="4"/>
        <v/>
      </c>
      <c r="G102" s="83"/>
      <c r="H102" s="84"/>
      <c r="I102" s="79" t="str">
        <f t="shared" si="5"/>
        <v/>
      </c>
    </row>
    <row r="103" spans="1:9">
      <c r="A103" s="112"/>
      <c r="B103" s="113"/>
      <c r="C103" s="79" t="str">
        <f t="shared" si="3"/>
        <v/>
      </c>
      <c r="D103" s="83"/>
      <c r="E103" s="84"/>
      <c r="F103" s="79" t="str">
        <f t="shared" si="4"/>
        <v/>
      </c>
      <c r="G103" s="83"/>
      <c r="H103" s="84"/>
      <c r="I103" s="79" t="str">
        <f t="shared" si="5"/>
        <v/>
      </c>
    </row>
    <row r="104" spans="1:9">
      <c r="A104" s="112"/>
      <c r="B104" s="113"/>
      <c r="C104" s="79" t="str">
        <f t="shared" si="3"/>
        <v/>
      </c>
      <c r="D104" s="83"/>
      <c r="E104" s="84"/>
      <c r="F104" s="79" t="str">
        <f t="shared" si="4"/>
        <v/>
      </c>
      <c r="G104" s="83"/>
      <c r="H104" s="84"/>
      <c r="I104" s="79" t="str">
        <f t="shared" si="5"/>
        <v/>
      </c>
    </row>
    <row r="105" spans="1:9">
      <c r="A105" s="112"/>
      <c r="B105" s="113"/>
      <c r="C105" s="79" t="str">
        <f t="shared" si="3"/>
        <v/>
      </c>
      <c r="D105" s="83"/>
      <c r="E105" s="84"/>
      <c r="F105" s="79" t="str">
        <f t="shared" si="4"/>
        <v/>
      </c>
      <c r="G105" s="83"/>
      <c r="H105" s="84"/>
      <c r="I105" s="79" t="str">
        <f t="shared" si="5"/>
        <v/>
      </c>
    </row>
    <row r="106" spans="1:9">
      <c r="A106" s="112"/>
      <c r="B106" s="113"/>
      <c r="C106" s="79" t="str">
        <f t="shared" si="3"/>
        <v/>
      </c>
      <c r="D106" s="83"/>
      <c r="E106" s="84"/>
      <c r="F106" s="79" t="str">
        <f t="shared" si="4"/>
        <v/>
      </c>
      <c r="G106" s="83"/>
      <c r="H106" s="84"/>
      <c r="I106" s="79" t="str">
        <f t="shared" si="5"/>
        <v/>
      </c>
    </row>
    <row r="107" spans="1:9">
      <c r="A107" s="112"/>
      <c r="B107" s="113"/>
      <c r="C107" s="79" t="str">
        <f t="shared" si="3"/>
        <v/>
      </c>
      <c r="D107" s="83"/>
      <c r="E107" s="84"/>
      <c r="F107" s="79" t="str">
        <f t="shared" si="4"/>
        <v/>
      </c>
      <c r="G107" s="83"/>
      <c r="H107" s="84"/>
      <c r="I107" s="79" t="str">
        <f t="shared" si="5"/>
        <v/>
      </c>
    </row>
    <row r="108" spans="1:9">
      <c r="A108" s="112"/>
      <c r="B108" s="113"/>
      <c r="C108" s="79" t="str">
        <f t="shared" si="3"/>
        <v/>
      </c>
      <c r="D108" s="83"/>
      <c r="E108" s="84"/>
      <c r="F108" s="79" t="str">
        <f t="shared" si="4"/>
        <v/>
      </c>
      <c r="G108" s="83"/>
      <c r="H108" s="84"/>
      <c r="I108" s="79" t="str">
        <f t="shared" si="5"/>
        <v/>
      </c>
    </row>
    <row r="109" spans="1:9">
      <c r="A109" s="112"/>
      <c r="B109" s="113"/>
      <c r="C109" s="79" t="str">
        <f t="shared" si="3"/>
        <v/>
      </c>
      <c r="D109" s="83"/>
      <c r="E109" s="84"/>
      <c r="F109" s="79" t="str">
        <f t="shared" si="4"/>
        <v/>
      </c>
      <c r="G109" s="83"/>
      <c r="H109" s="84"/>
      <c r="I109" s="79" t="str">
        <f t="shared" si="5"/>
        <v/>
      </c>
    </row>
    <row r="110" spans="1:9">
      <c r="A110" s="112"/>
      <c r="B110" s="113"/>
      <c r="C110" s="79" t="str">
        <f t="shared" si="3"/>
        <v/>
      </c>
      <c r="D110" s="83"/>
      <c r="E110" s="84"/>
      <c r="F110" s="79" t="str">
        <f t="shared" si="4"/>
        <v/>
      </c>
      <c r="G110" s="83"/>
      <c r="H110" s="84"/>
      <c r="I110" s="79" t="str">
        <f t="shared" si="5"/>
        <v/>
      </c>
    </row>
    <row r="111" spans="1:9">
      <c r="A111" s="112"/>
      <c r="B111" s="113"/>
      <c r="C111" s="79" t="str">
        <f t="shared" si="3"/>
        <v/>
      </c>
      <c r="D111" s="83"/>
      <c r="E111" s="84"/>
      <c r="F111" s="79" t="str">
        <f t="shared" si="4"/>
        <v/>
      </c>
      <c r="G111" s="83"/>
      <c r="H111" s="84"/>
      <c r="I111" s="79" t="str">
        <f t="shared" si="5"/>
        <v/>
      </c>
    </row>
    <row r="112" spans="1:9">
      <c r="A112" s="112"/>
      <c r="B112" s="113"/>
      <c r="C112" s="79" t="str">
        <f t="shared" si="3"/>
        <v/>
      </c>
      <c r="D112" s="83"/>
      <c r="E112" s="84"/>
      <c r="F112" s="79" t="str">
        <f t="shared" si="4"/>
        <v/>
      </c>
      <c r="G112" s="83"/>
      <c r="H112" s="84"/>
      <c r="I112" s="79" t="str">
        <f t="shared" si="5"/>
        <v/>
      </c>
    </row>
    <row r="113" spans="1:9">
      <c r="A113" s="112"/>
      <c r="B113" s="113"/>
      <c r="C113" s="79" t="str">
        <f t="shared" si="3"/>
        <v/>
      </c>
      <c r="D113" s="83"/>
      <c r="E113" s="84"/>
      <c r="F113" s="79" t="str">
        <f t="shared" si="4"/>
        <v/>
      </c>
      <c r="G113" s="83"/>
      <c r="H113" s="84"/>
      <c r="I113" s="79" t="str">
        <f t="shared" si="5"/>
        <v/>
      </c>
    </row>
    <row r="114" spans="1:9">
      <c r="A114" s="112"/>
      <c r="B114" s="113"/>
      <c r="C114" s="79" t="str">
        <f t="shared" si="3"/>
        <v/>
      </c>
      <c r="D114" s="83"/>
      <c r="E114" s="84"/>
      <c r="F114" s="79" t="str">
        <f t="shared" si="4"/>
        <v/>
      </c>
      <c r="G114" s="83"/>
      <c r="H114" s="84"/>
      <c r="I114" s="79" t="str">
        <f t="shared" si="5"/>
        <v/>
      </c>
    </row>
    <row r="115" spans="1:9">
      <c r="A115" s="112"/>
      <c r="B115" s="113"/>
      <c r="C115" s="79" t="str">
        <f t="shared" si="3"/>
        <v/>
      </c>
      <c r="D115" s="83"/>
      <c r="E115" s="84"/>
      <c r="F115" s="79" t="str">
        <f t="shared" si="4"/>
        <v/>
      </c>
      <c r="G115" s="83"/>
      <c r="H115" s="84"/>
      <c r="I115" s="79" t="str">
        <f t="shared" si="5"/>
        <v/>
      </c>
    </row>
    <row r="116" spans="1:9">
      <c r="A116" s="112"/>
      <c r="B116" s="113"/>
      <c r="C116" s="79" t="str">
        <f t="shared" si="3"/>
        <v/>
      </c>
      <c r="D116" s="83"/>
      <c r="E116" s="84"/>
      <c r="F116" s="79" t="str">
        <f t="shared" si="4"/>
        <v/>
      </c>
      <c r="G116" s="83"/>
      <c r="H116" s="84"/>
      <c r="I116" s="79" t="str">
        <f t="shared" si="5"/>
        <v/>
      </c>
    </row>
    <row r="117" spans="1:9">
      <c r="A117" s="112"/>
      <c r="B117" s="113"/>
      <c r="C117" s="79" t="str">
        <f t="shared" si="3"/>
        <v/>
      </c>
      <c r="D117" s="83"/>
      <c r="E117" s="84"/>
      <c r="F117" s="79" t="str">
        <f t="shared" si="4"/>
        <v/>
      </c>
      <c r="G117" s="83"/>
      <c r="H117" s="84"/>
      <c r="I117" s="79" t="str">
        <f t="shared" si="5"/>
        <v/>
      </c>
    </row>
    <row r="118" spans="1:9">
      <c r="A118" s="112"/>
      <c r="B118" s="113"/>
      <c r="C118" s="79" t="str">
        <f t="shared" si="3"/>
        <v/>
      </c>
      <c r="D118" s="83"/>
      <c r="E118" s="84"/>
      <c r="F118" s="79" t="str">
        <f t="shared" si="4"/>
        <v/>
      </c>
      <c r="G118" s="83"/>
      <c r="H118" s="84"/>
      <c r="I118" s="79" t="str">
        <f t="shared" si="5"/>
        <v/>
      </c>
    </row>
    <row r="119" spans="1:9">
      <c r="A119" s="112"/>
      <c r="B119" s="113"/>
      <c r="C119" s="79" t="str">
        <f t="shared" si="3"/>
        <v/>
      </c>
      <c r="D119" s="83"/>
      <c r="E119" s="84"/>
      <c r="F119" s="79" t="str">
        <f t="shared" si="4"/>
        <v/>
      </c>
      <c r="G119" s="83"/>
      <c r="H119" s="84"/>
      <c r="I119" s="79" t="str">
        <f t="shared" si="5"/>
        <v/>
      </c>
    </row>
    <row r="120" spans="1:9">
      <c r="A120" s="112"/>
      <c r="B120" s="113"/>
      <c r="C120" s="79" t="str">
        <f t="shared" si="3"/>
        <v/>
      </c>
      <c r="D120" s="83"/>
      <c r="E120" s="84"/>
      <c r="F120" s="79" t="str">
        <f t="shared" si="4"/>
        <v/>
      </c>
      <c r="G120" s="83"/>
      <c r="H120" s="84"/>
      <c r="I120" s="79" t="str">
        <f t="shared" si="5"/>
        <v/>
      </c>
    </row>
    <row r="121" spans="1:9">
      <c r="A121" s="112"/>
      <c r="B121" s="113"/>
      <c r="C121" s="79" t="str">
        <f t="shared" si="3"/>
        <v/>
      </c>
      <c r="D121" s="83"/>
      <c r="E121" s="84"/>
      <c r="F121" s="79" t="str">
        <f t="shared" si="4"/>
        <v/>
      </c>
      <c r="G121" s="83"/>
      <c r="H121" s="84"/>
      <c r="I121" s="79" t="str">
        <f t="shared" si="5"/>
        <v/>
      </c>
    </row>
    <row r="122" spans="1:9">
      <c r="A122" s="112"/>
      <c r="B122" s="113"/>
      <c r="C122" s="79" t="str">
        <f t="shared" si="3"/>
        <v/>
      </c>
      <c r="D122" s="83"/>
      <c r="E122" s="84"/>
      <c r="F122" s="79" t="str">
        <f t="shared" si="4"/>
        <v/>
      </c>
      <c r="G122" s="83"/>
      <c r="H122" s="84"/>
      <c r="I122" s="79" t="str">
        <f t="shared" si="5"/>
        <v/>
      </c>
    </row>
    <row r="123" spans="1:9">
      <c r="A123" s="112"/>
      <c r="B123" s="113"/>
      <c r="C123" s="79" t="str">
        <f t="shared" si="3"/>
        <v/>
      </c>
      <c r="D123" s="83"/>
      <c r="E123" s="84"/>
      <c r="F123" s="79" t="str">
        <f t="shared" si="4"/>
        <v/>
      </c>
      <c r="G123" s="83"/>
      <c r="H123" s="84"/>
      <c r="I123" s="79" t="str">
        <f t="shared" si="5"/>
        <v/>
      </c>
    </row>
    <row r="124" spans="1:9">
      <c r="A124" s="112"/>
      <c r="B124" s="113"/>
      <c r="C124" s="79" t="str">
        <f t="shared" si="3"/>
        <v/>
      </c>
      <c r="D124" s="83"/>
      <c r="E124" s="84"/>
      <c r="F124" s="79" t="str">
        <f t="shared" si="4"/>
        <v/>
      </c>
      <c r="G124" s="83"/>
      <c r="H124" s="84"/>
      <c r="I124" s="79" t="str">
        <f t="shared" si="5"/>
        <v/>
      </c>
    </row>
    <row r="125" spans="1:9">
      <c r="A125" s="112"/>
      <c r="B125" s="113"/>
      <c r="C125" s="79" t="str">
        <f t="shared" si="3"/>
        <v/>
      </c>
      <c r="D125" s="83"/>
      <c r="E125" s="84"/>
      <c r="F125" s="79" t="str">
        <f t="shared" si="4"/>
        <v/>
      </c>
      <c r="G125" s="83"/>
      <c r="H125" s="84"/>
      <c r="I125" s="79" t="str">
        <f t="shared" si="5"/>
        <v/>
      </c>
    </row>
    <row r="126" spans="1:9">
      <c r="A126" s="112"/>
      <c r="B126" s="113"/>
      <c r="C126" s="79" t="str">
        <f t="shared" si="3"/>
        <v/>
      </c>
      <c r="D126" s="83"/>
      <c r="E126" s="84"/>
      <c r="F126" s="79" t="str">
        <f t="shared" si="4"/>
        <v/>
      </c>
      <c r="G126" s="83"/>
      <c r="H126" s="84"/>
      <c r="I126" s="79" t="str">
        <f t="shared" si="5"/>
        <v/>
      </c>
    </row>
    <row r="127" spans="1:9">
      <c r="A127" s="112"/>
      <c r="B127" s="113"/>
      <c r="C127" s="79" t="str">
        <f t="shared" si="3"/>
        <v/>
      </c>
      <c r="D127" s="83"/>
      <c r="E127" s="84"/>
      <c r="F127" s="79" t="str">
        <f t="shared" si="4"/>
        <v/>
      </c>
      <c r="G127" s="83"/>
      <c r="H127" s="84"/>
      <c r="I127" s="79" t="str">
        <f t="shared" si="5"/>
        <v/>
      </c>
    </row>
    <row r="128" spans="1:9">
      <c r="A128" s="112"/>
      <c r="B128" s="113"/>
      <c r="C128" s="79" t="str">
        <f t="shared" si="3"/>
        <v/>
      </c>
      <c r="D128" s="83"/>
      <c r="E128" s="84"/>
      <c r="F128" s="79" t="str">
        <f t="shared" si="4"/>
        <v/>
      </c>
      <c r="G128" s="83"/>
      <c r="H128" s="84"/>
      <c r="I128" s="79" t="str">
        <f t="shared" si="5"/>
        <v/>
      </c>
    </row>
    <row r="129" spans="1:9">
      <c r="A129" s="112"/>
      <c r="B129" s="113"/>
      <c r="C129" s="79" t="str">
        <f t="shared" si="3"/>
        <v/>
      </c>
      <c r="D129" s="83"/>
      <c r="E129" s="84"/>
      <c r="F129" s="79" t="str">
        <f t="shared" si="4"/>
        <v/>
      </c>
      <c r="G129" s="83"/>
      <c r="H129" s="84"/>
      <c r="I129" s="79" t="str">
        <f t="shared" si="5"/>
        <v/>
      </c>
    </row>
    <row r="130" spans="1:9">
      <c r="A130" s="112"/>
      <c r="B130" s="113"/>
      <c r="C130" s="79" t="str">
        <f t="shared" si="3"/>
        <v/>
      </c>
      <c r="D130" s="83"/>
      <c r="E130" s="84"/>
      <c r="F130" s="79" t="str">
        <f t="shared" si="4"/>
        <v/>
      </c>
      <c r="G130" s="83"/>
      <c r="H130" s="84"/>
      <c r="I130" s="79" t="str">
        <f t="shared" si="5"/>
        <v/>
      </c>
    </row>
    <row r="131" spans="1:9">
      <c r="A131" s="112"/>
      <c r="B131" s="113"/>
      <c r="C131" s="79" t="str">
        <f t="shared" si="3"/>
        <v/>
      </c>
      <c r="D131" s="83"/>
      <c r="E131" s="84"/>
      <c r="F131" s="79" t="str">
        <f t="shared" si="4"/>
        <v/>
      </c>
      <c r="G131" s="83"/>
      <c r="H131" s="84"/>
      <c r="I131" s="79" t="str">
        <f t="shared" si="5"/>
        <v/>
      </c>
    </row>
    <row r="132" spans="1:9">
      <c r="A132" s="112"/>
      <c r="B132" s="113"/>
      <c r="C132" s="79" t="str">
        <f t="shared" si="3"/>
        <v/>
      </c>
      <c r="D132" s="83"/>
      <c r="E132" s="84"/>
      <c r="F132" s="79" t="str">
        <f t="shared" si="4"/>
        <v/>
      </c>
      <c r="G132" s="83"/>
      <c r="H132" s="84"/>
      <c r="I132" s="79" t="str">
        <f t="shared" si="5"/>
        <v/>
      </c>
    </row>
    <row r="133" spans="1:9">
      <c r="A133" s="112"/>
      <c r="B133" s="113"/>
      <c r="C133" s="79" t="str">
        <f t="shared" ref="C133:C196" si="6">IF(B133&gt;0,TEXT(B133,"(aaa)"),"")</f>
        <v/>
      </c>
      <c r="D133" s="83"/>
      <c r="E133" s="84"/>
      <c r="F133" s="79" t="str">
        <f t="shared" ref="F133:F196" si="7">IF(E133&gt;0,TEXT(E133,"(aaa)"),"")</f>
        <v/>
      </c>
      <c r="G133" s="83"/>
      <c r="H133" s="84"/>
      <c r="I133" s="79" t="str">
        <f t="shared" ref="I133:I196" si="8">IF(H133&gt;0,TEXT(H133,"(aaa)"),"")</f>
        <v/>
      </c>
    </row>
    <row r="134" spans="1:9">
      <c r="A134" s="112"/>
      <c r="B134" s="113"/>
      <c r="C134" s="79" t="str">
        <f t="shared" si="6"/>
        <v/>
      </c>
      <c r="D134" s="83"/>
      <c r="E134" s="84"/>
      <c r="F134" s="79" t="str">
        <f t="shared" si="7"/>
        <v/>
      </c>
      <c r="G134" s="83"/>
      <c r="H134" s="84"/>
      <c r="I134" s="79" t="str">
        <f t="shared" si="8"/>
        <v/>
      </c>
    </row>
    <row r="135" spans="1:9">
      <c r="A135" s="112"/>
      <c r="B135" s="113"/>
      <c r="C135" s="79" t="str">
        <f t="shared" si="6"/>
        <v/>
      </c>
      <c r="D135" s="83"/>
      <c r="E135" s="84"/>
      <c r="F135" s="79" t="str">
        <f t="shared" si="7"/>
        <v/>
      </c>
      <c r="G135" s="83"/>
      <c r="H135" s="84"/>
      <c r="I135" s="79" t="str">
        <f t="shared" si="8"/>
        <v/>
      </c>
    </row>
    <row r="136" spans="1:9">
      <c r="A136" s="112"/>
      <c r="B136" s="113"/>
      <c r="C136" s="79" t="str">
        <f t="shared" si="6"/>
        <v/>
      </c>
      <c r="D136" s="83"/>
      <c r="E136" s="84"/>
      <c r="F136" s="79" t="str">
        <f t="shared" si="7"/>
        <v/>
      </c>
      <c r="G136" s="83"/>
      <c r="H136" s="84"/>
      <c r="I136" s="79" t="str">
        <f t="shared" si="8"/>
        <v/>
      </c>
    </row>
    <row r="137" spans="1:9">
      <c r="A137" s="112"/>
      <c r="B137" s="113"/>
      <c r="C137" s="79" t="str">
        <f t="shared" si="6"/>
        <v/>
      </c>
      <c r="D137" s="83"/>
      <c r="E137" s="84"/>
      <c r="F137" s="79" t="str">
        <f t="shared" si="7"/>
        <v/>
      </c>
      <c r="G137" s="83"/>
      <c r="H137" s="84"/>
      <c r="I137" s="79" t="str">
        <f t="shared" si="8"/>
        <v/>
      </c>
    </row>
    <row r="138" spans="1:9">
      <c r="A138" s="112"/>
      <c r="B138" s="113"/>
      <c r="C138" s="79" t="str">
        <f t="shared" si="6"/>
        <v/>
      </c>
      <c r="D138" s="83"/>
      <c r="E138" s="84"/>
      <c r="F138" s="79" t="str">
        <f t="shared" si="7"/>
        <v/>
      </c>
      <c r="G138" s="83"/>
      <c r="H138" s="84"/>
      <c r="I138" s="79" t="str">
        <f t="shared" si="8"/>
        <v/>
      </c>
    </row>
    <row r="139" spans="1:9">
      <c r="A139" s="112"/>
      <c r="B139" s="113"/>
      <c r="C139" s="79" t="str">
        <f t="shared" si="6"/>
        <v/>
      </c>
      <c r="D139" s="83"/>
      <c r="E139" s="84"/>
      <c r="F139" s="79" t="str">
        <f t="shared" si="7"/>
        <v/>
      </c>
      <c r="G139" s="83"/>
      <c r="H139" s="84"/>
      <c r="I139" s="79" t="str">
        <f t="shared" si="8"/>
        <v/>
      </c>
    </row>
    <row r="140" spans="1:9">
      <c r="A140" s="112"/>
      <c r="B140" s="113"/>
      <c r="C140" s="79" t="str">
        <f t="shared" si="6"/>
        <v/>
      </c>
      <c r="D140" s="83"/>
      <c r="E140" s="84"/>
      <c r="F140" s="79" t="str">
        <f t="shared" si="7"/>
        <v/>
      </c>
      <c r="G140" s="83"/>
      <c r="H140" s="84"/>
      <c r="I140" s="79" t="str">
        <f t="shared" si="8"/>
        <v/>
      </c>
    </row>
    <row r="141" spans="1:9">
      <c r="A141" s="112"/>
      <c r="B141" s="113"/>
      <c r="C141" s="79" t="str">
        <f t="shared" si="6"/>
        <v/>
      </c>
      <c r="D141" s="83"/>
      <c r="E141" s="84"/>
      <c r="F141" s="79" t="str">
        <f t="shared" si="7"/>
        <v/>
      </c>
      <c r="G141" s="83"/>
      <c r="H141" s="84"/>
      <c r="I141" s="79" t="str">
        <f t="shared" si="8"/>
        <v/>
      </c>
    </row>
    <row r="142" spans="1:9">
      <c r="A142" s="112"/>
      <c r="B142" s="113"/>
      <c r="C142" s="79" t="str">
        <f t="shared" si="6"/>
        <v/>
      </c>
      <c r="D142" s="83"/>
      <c r="E142" s="84"/>
      <c r="F142" s="79" t="str">
        <f t="shared" si="7"/>
        <v/>
      </c>
      <c r="G142" s="83"/>
      <c r="H142" s="84"/>
      <c r="I142" s="79" t="str">
        <f t="shared" si="8"/>
        <v/>
      </c>
    </row>
    <row r="143" spans="1:9">
      <c r="A143" s="112"/>
      <c r="B143" s="113"/>
      <c r="C143" s="79" t="str">
        <f t="shared" si="6"/>
        <v/>
      </c>
      <c r="D143" s="83"/>
      <c r="E143" s="84"/>
      <c r="F143" s="79" t="str">
        <f t="shared" si="7"/>
        <v/>
      </c>
      <c r="G143" s="83"/>
      <c r="H143" s="84"/>
      <c r="I143" s="79" t="str">
        <f t="shared" si="8"/>
        <v/>
      </c>
    </row>
    <row r="144" spans="1:9">
      <c r="A144" s="112"/>
      <c r="B144" s="113"/>
      <c r="C144" s="79" t="str">
        <f t="shared" si="6"/>
        <v/>
      </c>
      <c r="D144" s="83"/>
      <c r="E144" s="84"/>
      <c r="F144" s="79" t="str">
        <f t="shared" si="7"/>
        <v/>
      </c>
      <c r="G144" s="83"/>
      <c r="H144" s="84"/>
      <c r="I144" s="79" t="str">
        <f t="shared" si="8"/>
        <v/>
      </c>
    </row>
    <row r="145" spans="1:9">
      <c r="A145" s="112"/>
      <c r="B145" s="113"/>
      <c r="C145" s="79" t="str">
        <f t="shared" si="6"/>
        <v/>
      </c>
      <c r="D145" s="83"/>
      <c r="E145" s="84"/>
      <c r="F145" s="79" t="str">
        <f t="shared" si="7"/>
        <v/>
      </c>
      <c r="G145" s="83"/>
      <c r="H145" s="84"/>
      <c r="I145" s="79" t="str">
        <f t="shared" si="8"/>
        <v/>
      </c>
    </row>
    <row r="146" spans="1:9">
      <c r="A146" s="112"/>
      <c r="B146" s="113"/>
      <c r="C146" s="79" t="str">
        <f t="shared" si="6"/>
        <v/>
      </c>
      <c r="D146" s="83"/>
      <c r="E146" s="84"/>
      <c r="F146" s="79" t="str">
        <f t="shared" si="7"/>
        <v/>
      </c>
      <c r="G146" s="83"/>
      <c r="H146" s="84"/>
      <c r="I146" s="79" t="str">
        <f t="shared" si="8"/>
        <v/>
      </c>
    </row>
    <row r="147" spans="1:9">
      <c r="A147" s="112"/>
      <c r="B147" s="113"/>
      <c r="C147" s="79" t="str">
        <f t="shared" si="6"/>
        <v/>
      </c>
      <c r="D147" s="83"/>
      <c r="E147" s="84"/>
      <c r="F147" s="79" t="str">
        <f t="shared" si="7"/>
        <v/>
      </c>
      <c r="G147" s="83"/>
      <c r="H147" s="84"/>
      <c r="I147" s="79" t="str">
        <f t="shared" si="8"/>
        <v/>
      </c>
    </row>
    <row r="148" spans="1:9">
      <c r="A148" s="112"/>
      <c r="B148" s="113"/>
      <c r="C148" s="79" t="str">
        <f t="shared" si="6"/>
        <v/>
      </c>
      <c r="D148" s="83"/>
      <c r="E148" s="84"/>
      <c r="F148" s="79" t="str">
        <f t="shared" si="7"/>
        <v/>
      </c>
      <c r="G148" s="83"/>
      <c r="H148" s="84"/>
      <c r="I148" s="79" t="str">
        <f t="shared" si="8"/>
        <v/>
      </c>
    </row>
    <row r="149" spans="1:9">
      <c r="A149" s="112"/>
      <c r="B149" s="113"/>
      <c r="C149" s="79" t="str">
        <f t="shared" si="6"/>
        <v/>
      </c>
      <c r="D149" s="83"/>
      <c r="E149" s="84"/>
      <c r="F149" s="79" t="str">
        <f t="shared" si="7"/>
        <v/>
      </c>
      <c r="G149" s="83"/>
      <c r="H149" s="84"/>
      <c r="I149" s="79" t="str">
        <f t="shared" si="8"/>
        <v/>
      </c>
    </row>
    <row r="150" spans="1:9">
      <c r="A150" s="112"/>
      <c r="B150" s="113"/>
      <c r="C150" s="79" t="str">
        <f t="shared" si="6"/>
        <v/>
      </c>
      <c r="D150" s="83"/>
      <c r="E150" s="84"/>
      <c r="F150" s="79" t="str">
        <f t="shared" si="7"/>
        <v/>
      </c>
      <c r="G150" s="83"/>
      <c r="H150" s="84"/>
      <c r="I150" s="79" t="str">
        <f t="shared" si="8"/>
        <v/>
      </c>
    </row>
    <row r="151" spans="1:9">
      <c r="A151" s="112"/>
      <c r="B151" s="113"/>
      <c r="C151" s="79" t="str">
        <f t="shared" si="6"/>
        <v/>
      </c>
      <c r="D151" s="83"/>
      <c r="E151" s="84"/>
      <c r="F151" s="79" t="str">
        <f t="shared" si="7"/>
        <v/>
      </c>
      <c r="G151" s="83"/>
      <c r="H151" s="84"/>
      <c r="I151" s="79" t="str">
        <f t="shared" si="8"/>
        <v/>
      </c>
    </row>
    <row r="152" spans="1:9">
      <c r="A152" s="112"/>
      <c r="B152" s="113"/>
      <c r="C152" s="79" t="str">
        <f t="shared" si="6"/>
        <v/>
      </c>
      <c r="D152" s="83"/>
      <c r="E152" s="84"/>
      <c r="F152" s="79" t="str">
        <f t="shared" si="7"/>
        <v/>
      </c>
      <c r="G152" s="83"/>
      <c r="H152" s="84"/>
      <c r="I152" s="79" t="str">
        <f t="shared" si="8"/>
        <v/>
      </c>
    </row>
    <row r="153" spans="1:9">
      <c r="A153" s="112"/>
      <c r="B153" s="113"/>
      <c r="C153" s="79" t="str">
        <f t="shared" si="6"/>
        <v/>
      </c>
      <c r="D153" s="83"/>
      <c r="E153" s="84"/>
      <c r="F153" s="79" t="str">
        <f t="shared" si="7"/>
        <v/>
      </c>
      <c r="G153" s="83"/>
      <c r="H153" s="84"/>
      <c r="I153" s="79" t="str">
        <f t="shared" si="8"/>
        <v/>
      </c>
    </row>
    <row r="154" spans="1:9">
      <c r="A154" s="112"/>
      <c r="B154" s="113"/>
      <c r="C154" s="79" t="str">
        <f t="shared" si="6"/>
        <v/>
      </c>
      <c r="D154" s="83"/>
      <c r="E154" s="84"/>
      <c r="F154" s="79" t="str">
        <f t="shared" si="7"/>
        <v/>
      </c>
      <c r="G154" s="83"/>
      <c r="H154" s="84"/>
      <c r="I154" s="79" t="str">
        <f t="shared" si="8"/>
        <v/>
      </c>
    </row>
    <row r="155" spans="1:9">
      <c r="A155" s="112"/>
      <c r="B155" s="113"/>
      <c r="C155" s="79" t="str">
        <f t="shared" si="6"/>
        <v/>
      </c>
      <c r="D155" s="83"/>
      <c r="E155" s="84"/>
      <c r="F155" s="79" t="str">
        <f t="shared" si="7"/>
        <v/>
      </c>
      <c r="G155" s="83"/>
      <c r="H155" s="84"/>
      <c r="I155" s="79" t="str">
        <f t="shared" si="8"/>
        <v/>
      </c>
    </row>
    <row r="156" spans="1:9">
      <c r="A156" s="112"/>
      <c r="B156" s="113"/>
      <c r="C156" s="79" t="str">
        <f t="shared" si="6"/>
        <v/>
      </c>
      <c r="D156" s="83"/>
      <c r="E156" s="84"/>
      <c r="F156" s="79" t="str">
        <f t="shared" si="7"/>
        <v/>
      </c>
      <c r="G156" s="83"/>
      <c r="H156" s="84"/>
      <c r="I156" s="79" t="str">
        <f t="shared" si="8"/>
        <v/>
      </c>
    </row>
    <row r="157" spans="1:9">
      <c r="A157" s="112"/>
      <c r="B157" s="113"/>
      <c r="C157" s="79" t="str">
        <f t="shared" si="6"/>
        <v/>
      </c>
      <c r="D157" s="83"/>
      <c r="E157" s="84"/>
      <c r="F157" s="79" t="str">
        <f t="shared" si="7"/>
        <v/>
      </c>
      <c r="G157" s="83"/>
      <c r="H157" s="84"/>
      <c r="I157" s="79" t="str">
        <f t="shared" si="8"/>
        <v/>
      </c>
    </row>
    <row r="158" spans="1:9">
      <c r="A158" s="112"/>
      <c r="B158" s="113"/>
      <c r="C158" s="79" t="str">
        <f t="shared" si="6"/>
        <v/>
      </c>
      <c r="D158" s="83"/>
      <c r="E158" s="84"/>
      <c r="F158" s="79" t="str">
        <f t="shared" si="7"/>
        <v/>
      </c>
      <c r="G158" s="83"/>
      <c r="H158" s="84"/>
      <c r="I158" s="79" t="str">
        <f t="shared" si="8"/>
        <v/>
      </c>
    </row>
    <row r="159" spans="1:9">
      <c r="A159" s="112"/>
      <c r="B159" s="113"/>
      <c r="C159" s="79" t="str">
        <f t="shared" si="6"/>
        <v/>
      </c>
      <c r="D159" s="83"/>
      <c r="E159" s="84"/>
      <c r="F159" s="79" t="str">
        <f t="shared" si="7"/>
        <v/>
      </c>
      <c r="G159" s="83"/>
      <c r="H159" s="84"/>
      <c r="I159" s="79" t="str">
        <f t="shared" si="8"/>
        <v/>
      </c>
    </row>
    <row r="160" spans="1:9">
      <c r="A160" s="112"/>
      <c r="B160" s="113"/>
      <c r="C160" s="79" t="str">
        <f t="shared" si="6"/>
        <v/>
      </c>
      <c r="D160" s="83"/>
      <c r="E160" s="84"/>
      <c r="F160" s="79" t="str">
        <f t="shared" si="7"/>
        <v/>
      </c>
      <c r="G160" s="83"/>
      <c r="H160" s="84"/>
      <c r="I160" s="79" t="str">
        <f t="shared" si="8"/>
        <v/>
      </c>
    </row>
    <row r="161" spans="1:9">
      <c r="A161" s="112"/>
      <c r="B161" s="113"/>
      <c r="C161" s="79" t="str">
        <f t="shared" si="6"/>
        <v/>
      </c>
      <c r="D161" s="83"/>
      <c r="E161" s="84"/>
      <c r="F161" s="79" t="str">
        <f t="shared" si="7"/>
        <v/>
      </c>
      <c r="G161" s="83"/>
      <c r="H161" s="84"/>
      <c r="I161" s="79" t="str">
        <f t="shared" si="8"/>
        <v/>
      </c>
    </row>
    <row r="162" spans="1:9">
      <c r="A162" s="112"/>
      <c r="B162" s="113"/>
      <c r="C162" s="79" t="str">
        <f t="shared" si="6"/>
        <v/>
      </c>
      <c r="D162" s="83"/>
      <c r="E162" s="84"/>
      <c r="F162" s="79" t="str">
        <f t="shared" si="7"/>
        <v/>
      </c>
      <c r="G162" s="83"/>
      <c r="H162" s="84"/>
      <c r="I162" s="79" t="str">
        <f t="shared" si="8"/>
        <v/>
      </c>
    </row>
    <row r="163" spans="1:9">
      <c r="A163" s="112"/>
      <c r="B163" s="113"/>
      <c r="C163" s="79" t="str">
        <f t="shared" si="6"/>
        <v/>
      </c>
      <c r="D163" s="83"/>
      <c r="E163" s="84"/>
      <c r="F163" s="79" t="str">
        <f t="shared" si="7"/>
        <v/>
      </c>
      <c r="G163" s="83"/>
      <c r="H163" s="84"/>
      <c r="I163" s="79" t="str">
        <f t="shared" si="8"/>
        <v/>
      </c>
    </row>
    <row r="164" spans="1:9">
      <c r="A164" s="112"/>
      <c r="B164" s="113"/>
      <c r="C164" s="79" t="str">
        <f t="shared" si="6"/>
        <v/>
      </c>
      <c r="D164" s="83"/>
      <c r="E164" s="84"/>
      <c r="F164" s="79" t="str">
        <f t="shared" si="7"/>
        <v/>
      </c>
      <c r="G164" s="83"/>
      <c r="H164" s="84"/>
      <c r="I164" s="79" t="str">
        <f t="shared" si="8"/>
        <v/>
      </c>
    </row>
    <row r="165" spans="1:9">
      <c r="A165" s="112"/>
      <c r="B165" s="113"/>
      <c r="C165" s="79" t="str">
        <f t="shared" si="6"/>
        <v/>
      </c>
      <c r="D165" s="83"/>
      <c r="E165" s="84"/>
      <c r="F165" s="79" t="str">
        <f t="shared" si="7"/>
        <v/>
      </c>
      <c r="G165" s="83"/>
      <c r="H165" s="84"/>
      <c r="I165" s="79" t="str">
        <f t="shared" si="8"/>
        <v/>
      </c>
    </row>
    <row r="166" spans="1:9">
      <c r="A166" s="112"/>
      <c r="B166" s="113"/>
      <c r="C166" s="79" t="str">
        <f t="shared" si="6"/>
        <v/>
      </c>
      <c r="D166" s="83"/>
      <c r="E166" s="84"/>
      <c r="F166" s="79" t="str">
        <f t="shared" si="7"/>
        <v/>
      </c>
      <c r="G166" s="83"/>
      <c r="H166" s="84"/>
      <c r="I166" s="79" t="str">
        <f t="shared" si="8"/>
        <v/>
      </c>
    </row>
    <row r="167" spans="1:9">
      <c r="A167" s="112"/>
      <c r="B167" s="113"/>
      <c r="C167" s="79" t="str">
        <f t="shared" si="6"/>
        <v/>
      </c>
      <c r="D167" s="83"/>
      <c r="E167" s="84"/>
      <c r="F167" s="79" t="str">
        <f t="shared" si="7"/>
        <v/>
      </c>
      <c r="G167" s="83"/>
      <c r="H167" s="84"/>
      <c r="I167" s="79" t="str">
        <f t="shared" si="8"/>
        <v/>
      </c>
    </row>
    <row r="168" spans="1:9">
      <c r="A168" s="112"/>
      <c r="B168" s="113"/>
      <c r="C168" s="79" t="str">
        <f t="shared" si="6"/>
        <v/>
      </c>
      <c r="D168" s="83"/>
      <c r="E168" s="84"/>
      <c r="F168" s="79" t="str">
        <f t="shared" si="7"/>
        <v/>
      </c>
      <c r="G168" s="83"/>
      <c r="H168" s="84"/>
      <c r="I168" s="79" t="str">
        <f t="shared" si="8"/>
        <v/>
      </c>
    </row>
    <row r="169" spans="1:9">
      <c r="A169" s="112"/>
      <c r="B169" s="113"/>
      <c r="C169" s="79" t="str">
        <f t="shared" si="6"/>
        <v/>
      </c>
      <c r="D169" s="83"/>
      <c r="E169" s="84"/>
      <c r="F169" s="79" t="str">
        <f t="shared" si="7"/>
        <v/>
      </c>
      <c r="G169" s="83"/>
      <c r="H169" s="84"/>
      <c r="I169" s="79" t="str">
        <f t="shared" si="8"/>
        <v/>
      </c>
    </row>
    <row r="170" spans="1:9">
      <c r="A170" s="112"/>
      <c r="B170" s="113"/>
      <c r="C170" s="79" t="str">
        <f t="shared" si="6"/>
        <v/>
      </c>
      <c r="D170" s="83"/>
      <c r="E170" s="84"/>
      <c r="F170" s="79" t="str">
        <f t="shared" si="7"/>
        <v/>
      </c>
      <c r="G170" s="83"/>
      <c r="H170" s="84"/>
      <c r="I170" s="79" t="str">
        <f t="shared" si="8"/>
        <v/>
      </c>
    </row>
    <row r="171" spans="1:9">
      <c r="A171" s="112"/>
      <c r="B171" s="113"/>
      <c r="C171" s="79" t="str">
        <f t="shared" si="6"/>
        <v/>
      </c>
      <c r="D171" s="83"/>
      <c r="E171" s="84"/>
      <c r="F171" s="79" t="str">
        <f t="shared" si="7"/>
        <v/>
      </c>
      <c r="G171" s="83"/>
      <c r="H171" s="84"/>
      <c r="I171" s="79" t="str">
        <f t="shared" si="8"/>
        <v/>
      </c>
    </row>
    <row r="172" spans="1:9">
      <c r="A172" s="112"/>
      <c r="B172" s="113"/>
      <c r="C172" s="79" t="str">
        <f t="shared" si="6"/>
        <v/>
      </c>
      <c r="D172" s="83"/>
      <c r="E172" s="84"/>
      <c r="F172" s="79" t="str">
        <f t="shared" si="7"/>
        <v/>
      </c>
      <c r="G172" s="83"/>
      <c r="H172" s="84"/>
      <c r="I172" s="79" t="str">
        <f t="shared" si="8"/>
        <v/>
      </c>
    </row>
    <row r="173" spans="1:9">
      <c r="A173" s="112"/>
      <c r="B173" s="113"/>
      <c r="C173" s="79" t="str">
        <f t="shared" si="6"/>
        <v/>
      </c>
      <c r="D173" s="83"/>
      <c r="E173" s="84"/>
      <c r="F173" s="79" t="str">
        <f t="shared" si="7"/>
        <v/>
      </c>
      <c r="G173" s="83"/>
      <c r="H173" s="84"/>
      <c r="I173" s="79" t="str">
        <f t="shared" si="8"/>
        <v/>
      </c>
    </row>
    <row r="174" spans="1:9">
      <c r="A174" s="112"/>
      <c r="B174" s="113"/>
      <c r="C174" s="79" t="str">
        <f t="shared" si="6"/>
        <v/>
      </c>
      <c r="D174" s="83"/>
      <c r="E174" s="84"/>
      <c r="F174" s="79" t="str">
        <f t="shared" si="7"/>
        <v/>
      </c>
      <c r="G174" s="83"/>
      <c r="H174" s="84"/>
      <c r="I174" s="79" t="str">
        <f t="shared" si="8"/>
        <v/>
      </c>
    </row>
    <row r="175" spans="1:9">
      <c r="A175" s="112"/>
      <c r="B175" s="113"/>
      <c r="C175" s="79" t="str">
        <f t="shared" si="6"/>
        <v/>
      </c>
      <c r="D175" s="83"/>
      <c r="E175" s="84"/>
      <c r="F175" s="79" t="str">
        <f t="shared" si="7"/>
        <v/>
      </c>
      <c r="G175" s="83"/>
      <c r="H175" s="84"/>
      <c r="I175" s="79" t="str">
        <f t="shared" si="8"/>
        <v/>
      </c>
    </row>
    <row r="176" spans="1:9">
      <c r="A176" s="112"/>
      <c r="B176" s="113"/>
      <c r="C176" s="79" t="str">
        <f t="shared" si="6"/>
        <v/>
      </c>
      <c r="D176" s="83"/>
      <c r="E176" s="84"/>
      <c r="F176" s="79" t="str">
        <f t="shared" si="7"/>
        <v/>
      </c>
      <c r="G176" s="83"/>
      <c r="H176" s="84"/>
      <c r="I176" s="79" t="str">
        <f t="shared" si="8"/>
        <v/>
      </c>
    </row>
    <row r="177" spans="1:9">
      <c r="A177" s="112"/>
      <c r="B177" s="113"/>
      <c r="C177" s="79" t="str">
        <f t="shared" si="6"/>
        <v/>
      </c>
      <c r="D177" s="83"/>
      <c r="E177" s="84"/>
      <c r="F177" s="79" t="str">
        <f t="shared" si="7"/>
        <v/>
      </c>
      <c r="G177" s="83"/>
      <c r="H177" s="84"/>
      <c r="I177" s="79" t="str">
        <f t="shared" si="8"/>
        <v/>
      </c>
    </row>
    <row r="178" spans="1:9">
      <c r="A178" s="112"/>
      <c r="B178" s="113"/>
      <c r="C178" s="79" t="str">
        <f t="shared" si="6"/>
        <v/>
      </c>
      <c r="D178" s="83"/>
      <c r="E178" s="84"/>
      <c r="F178" s="79" t="str">
        <f t="shared" si="7"/>
        <v/>
      </c>
      <c r="G178" s="83"/>
      <c r="H178" s="84"/>
      <c r="I178" s="79" t="str">
        <f t="shared" si="8"/>
        <v/>
      </c>
    </row>
    <row r="179" spans="1:9">
      <c r="A179" s="112"/>
      <c r="B179" s="113"/>
      <c r="C179" s="79" t="str">
        <f t="shared" si="6"/>
        <v/>
      </c>
      <c r="D179" s="83"/>
      <c r="E179" s="84"/>
      <c r="F179" s="79" t="str">
        <f t="shared" si="7"/>
        <v/>
      </c>
      <c r="G179" s="83"/>
      <c r="H179" s="84"/>
      <c r="I179" s="79" t="str">
        <f t="shared" si="8"/>
        <v/>
      </c>
    </row>
    <row r="180" spans="1:9">
      <c r="A180" s="112"/>
      <c r="B180" s="113"/>
      <c r="C180" s="79" t="str">
        <f t="shared" si="6"/>
        <v/>
      </c>
      <c r="D180" s="83"/>
      <c r="E180" s="84"/>
      <c r="F180" s="79" t="str">
        <f t="shared" si="7"/>
        <v/>
      </c>
      <c r="G180" s="83"/>
      <c r="H180" s="84"/>
      <c r="I180" s="79" t="str">
        <f t="shared" si="8"/>
        <v/>
      </c>
    </row>
    <row r="181" spans="1:9">
      <c r="A181" s="112"/>
      <c r="B181" s="113"/>
      <c r="C181" s="79" t="str">
        <f t="shared" si="6"/>
        <v/>
      </c>
      <c r="D181" s="83"/>
      <c r="E181" s="84"/>
      <c r="F181" s="79" t="str">
        <f t="shared" si="7"/>
        <v/>
      </c>
      <c r="G181" s="83"/>
      <c r="H181" s="84"/>
      <c r="I181" s="79" t="str">
        <f t="shared" si="8"/>
        <v/>
      </c>
    </row>
    <row r="182" spans="1:9">
      <c r="A182" s="112"/>
      <c r="B182" s="113"/>
      <c r="C182" s="79" t="str">
        <f t="shared" si="6"/>
        <v/>
      </c>
      <c r="D182" s="83"/>
      <c r="E182" s="84"/>
      <c r="F182" s="79" t="str">
        <f t="shared" si="7"/>
        <v/>
      </c>
      <c r="G182" s="83"/>
      <c r="H182" s="84"/>
      <c r="I182" s="79" t="str">
        <f t="shared" si="8"/>
        <v/>
      </c>
    </row>
    <row r="183" spans="1:9">
      <c r="A183" s="112"/>
      <c r="B183" s="113"/>
      <c r="C183" s="79" t="str">
        <f t="shared" si="6"/>
        <v/>
      </c>
      <c r="D183" s="83"/>
      <c r="E183" s="84"/>
      <c r="F183" s="79" t="str">
        <f t="shared" si="7"/>
        <v/>
      </c>
      <c r="G183" s="83"/>
      <c r="H183" s="84"/>
      <c r="I183" s="79" t="str">
        <f t="shared" si="8"/>
        <v/>
      </c>
    </row>
    <row r="184" spans="1:9">
      <c r="A184" s="112"/>
      <c r="B184" s="113"/>
      <c r="C184" s="79" t="str">
        <f t="shared" si="6"/>
        <v/>
      </c>
      <c r="D184" s="83"/>
      <c r="E184" s="84"/>
      <c r="F184" s="79" t="str">
        <f t="shared" si="7"/>
        <v/>
      </c>
      <c r="G184" s="83"/>
      <c r="H184" s="84"/>
      <c r="I184" s="79" t="str">
        <f t="shared" si="8"/>
        <v/>
      </c>
    </row>
    <row r="185" spans="1:9">
      <c r="A185" s="112"/>
      <c r="B185" s="113"/>
      <c r="C185" s="79" t="str">
        <f t="shared" si="6"/>
        <v/>
      </c>
      <c r="D185" s="83"/>
      <c r="E185" s="84"/>
      <c r="F185" s="79" t="str">
        <f t="shared" si="7"/>
        <v/>
      </c>
      <c r="G185" s="83"/>
      <c r="H185" s="84"/>
      <c r="I185" s="79" t="str">
        <f t="shared" si="8"/>
        <v/>
      </c>
    </row>
    <row r="186" spans="1:9">
      <c r="A186" s="112"/>
      <c r="B186" s="113"/>
      <c r="C186" s="79" t="str">
        <f t="shared" si="6"/>
        <v/>
      </c>
      <c r="D186" s="83"/>
      <c r="E186" s="84"/>
      <c r="F186" s="79" t="str">
        <f t="shared" si="7"/>
        <v/>
      </c>
      <c r="G186" s="83"/>
      <c r="H186" s="84"/>
      <c r="I186" s="79" t="str">
        <f t="shared" si="8"/>
        <v/>
      </c>
    </row>
    <row r="187" spans="1:9">
      <c r="A187" s="112"/>
      <c r="B187" s="113"/>
      <c r="C187" s="79" t="str">
        <f t="shared" si="6"/>
        <v/>
      </c>
      <c r="D187" s="83"/>
      <c r="E187" s="84"/>
      <c r="F187" s="79" t="str">
        <f t="shared" si="7"/>
        <v/>
      </c>
      <c r="G187" s="83"/>
      <c r="H187" s="84"/>
      <c r="I187" s="79" t="str">
        <f t="shared" si="8"/>
        <v/>
      </c>
    </row>
    <row r="188" spans="1:9">
      <c r="A188" s="112"/>
      <c r="B188" s="113"/>
      <c r="C188" s="79" t="str">
        <f t="shared" si="6"/>
        <v/>
      </c>
      <c r="D188" s="83"/>
      <c r="E188" s="84"/>
      <c r="F188" s="79" t="str">
        <f t="shared" si="7"/>
        <v/>
      </c>
      <c r="G188" s="83"/>
      <c r="H188" s="84"/>
      <c r="I188" s="79" t="str">
        <f t="shared" si="8"/>
        <v/>
      </c>
    </row>
    <row r="189" spans="1:9">
      <c r="A189" s="112"/>
      <c r="B189" s="113"/>
      <c r="C189" s="79" t="str">
        <f t="shared" si="6"/>
        <v/>
      </c>
      <c r="D189" s="83"/>
      <c r="E189" s="84"/>
      <c r="F189" s="79" t="str">
        <f t="shared" si="7"/>
        <v/>
      </c>
      <c r="G189" s="83"/>
      <c r="H189" s="84"/>
      <c r="I189" s="79" t="str">
        <f t="shared" si="8"/>
        <v/>
      </c>
    </row>
    <row r="190" spans="1:9">
      <c r="A190" s="112"/>
      <c r="B190" s="113"/>
      <c r="C190" s="79" t="str">
        <f t="shared" si="6"/>
        <v/>
      </c>
      <c r="D190" s="83"/>
      <c r="E190" s="84"/>
      <c r="F190" s="79" t="str">
        <f t="shared" si="7"/>
        <v/>
      </c>
      <c r="G190" s="83"/>
      <c r="H190" s="84"/>
      <c r="I190" s="79" t="str">
        <f t="shared" si="8"/>
        <v/>
      </c>
    </row>
    <row r="191" spans="1:9">
      <c r="A191" s="112"/>
      <c r="B191" s="113"/>
      <c r="C191" s="79" t="str">
        <f t="shared" si="6"/>
        <v/>
      </c>
      <c r="D191" s="83"/>
      <c r="E191" s="84"/>
      <c r="F191" s="79" t="str">
        <f t="shared" si="7"/>
        <v/>
      </c>
      <c r="G191" s="83"/>
      <c r="H191" s="84"/>
      <c r="I191" s="79" t="str">
        <f t="shared" si="8"/>
        <v/>
      </c>
    </row>
    <row r="192" spans="1:9">
      <c r="A192" s="112"/>
      <c r="B192" s="113"/>
      <c r="C192" s="79" t="str">
        <f t="shared" si="6"/>
        <v/>
      </c>
      <c r="D192" s="83"/>
      <c r="E192" s="84"/>
      <c r="F192" s="79" t="str">
        <f t="shared" si="7"/>
        <v/>
      </c>
      <c r="G192" s="83"/>
      <c r="H192" s="84"/>
      <c r="I192" s="79" t="str">
        <f t="shared" si="8"/>
        <v/>
      </c>
    </row>
    <row r="193" spans="1:9">
      <c r="A193" s="112"/>
      <c r="B193" s="113"/>
      <c r="C193" s="79" t="str">
        <f t="shared" si="6"/>
        <v/>
      </c>
      <c r="D193" s="83"/>
      <c r="E193" s="84"/>
      <c r="F193" s="79" t="str">
        <f t="shared" si="7"/>
        <v/>
      </c>
      <c r="G193" s="83"/>
      <c r="H193" s="84"/>
      <c r="I193" s="79" t="str">
        <f t="shared" si="8"/>
        <v/>
      </c>
    </row>
    <row r="194" spans="1:9">
      <c r="A194" s="112"/>
      <c r="B194" s="113"/>
      <c r="C194" s="79" t="str">
        <f t="shared" si="6"/>
        <v/>
      </c>
      <c r="D194" s="83"/>
      <c r="E194" s="84"/>
      <c r="F194" s="79" t="str">
        <f t="shared" si="7"/>
        <v/>
      </c>
      <c r="G194" s="83"/>
      <c r="H194" s="84"/>
      <c r="I194" s="79" t="str">
        <f t="shared" si="8"/>
        <v/>
      </c>
    </row>
    <row r="195" spans="1:9">
      <c r="A195" s="112"/>
      <c r="B195" s="113"/>
      <c r="C195" s="79" t="str">
        <f t="shared" si="6"/>
        <v/>
      </c>
      <c r="D195" s="83"/>
      <c r="E195" s="84"/>
      <c r="F195" s="79" t="str">
        <f t="shared" si="7"/>
        <v/>
      </c>
      <c r="G195" s="83"/>
      <c r="H195" s="84"/>
      <c r="I195" s="79" t="str">
        <f t="shared" si="8"/>
        <v/>
      </c>
    </row>
    <row r="196" spans="1:9">
      <c r="A196" s="112"/>
      <c r="B196" s="113"/>
      <c r="C196" s="79" t="str">
        <f t="shared" si="6"/>
        <v/>
      </c>
      <c r="D196" s="83"/>
      <c r="E196" s="84"/>
      <c r="F196" s="79" t="str">
        <f t="shared" si="7"/>
        <v/>
      </c>
      <c r="G196" s="83"/>
      <c r="H196" s="84"/>
      <c r="I196" s="79" t="str">
        <f t="shared" si="8"/>
        <v/>
      </c>
    </row>
    <row r="197" spans="1:9">
      <c r="A197" s="112"/>
      <c r="B197" s="113"/>
      <c r="C197" s="79" t="str">
        <f t="shared" ref="C197:C260" si="9">IF(B197&gt;0,TEXT(B197,"(aaa)"),"")</f>
        <v/>
      </c>
      <c r="D197" s="83"/>
      <c r="E197" s="84"/>
      <c r="F197" s="79" t="str">
        <f t="shared" ref="F197:F260" si="10">IF(E197&gt;0,TEXT(E197,"(aaa)"),"")</f>
        <v/>
      </c>
      <c r="G197" s="83"/>
      <c r="H197" s="84"/>
      <c r="I197" s="79" t="str">
        <f t="shared" ref="I197:I260" si="11">IF(H197&gt;0,TEXT(H197,"(aaa)"),"")</f>
        <v/>
      </c>
    </row>
    <row r="198" spans="1:9">
      <c r="A198" s="112"/>
      <c r="B198" s="113"/>
      <c r="C198" s="79" t="str">
        <f t="shared" si="9"/>
        <v/>
      </c>
      <c r="D198" s="83"/>
      <c r="E198" s="84"/>
      <c r="F198" s="79" t="str">
        <f t="shared" si="10"/>
        <v/>
      </c>
      <c r="G198" s="83"/>
      <c r="H198" s="84"/>
      <c r="I198" s="79" t="str">
        <f t="shared" si="11"/>
        <v/>
      </c>
    </row>
    <row r="199" spans="1:9">
      <c r="A199" s="112"/>
      <c r="B199" s="113"/>
      <c r="C199" s="79" t="str">
        <f t="shared" si="9"/>
        <v/>
      </c>
      <c r="D199" s="83"/>
      <c r="E199" s="84"/>
      <c r="F199" s="79" t="str">
        <f t="shared" si="10"/>
        <v/>
      </c>
      <c r="G199" s="83"/>
      <c r="H199" s="84"/>
      <c r="I199" s="79" t="str">
        <f t="shared" si="11"/>
        <v/>
      </c>
    </row>
    <row r="200" spans="1:9">
      <c r="A200" s="112"/>
      <c r="B200" s="113"/>
      <c r="C200" s="79" t="str">
        <f t="shared" si="9"/>
        <v/>
      </c>
      <c r="D200" s="83"/>
      <c r="E200" s="84"/>
      <c r="F200" s="79" t="str">
        <f t="shared" si="10"/>
        <v/>
      </c>
      <c r="G200" s="83"/>
      <c r="H200" s="84"/>
      <c r="I200" s="79" t="str">
        <f t="shared" si="11"/>
        <v/>
      </c>
    </row>
    <row r="201" spans="1:9">
      <c r="A201" s="112"/>
      <c r="B201" s="113"/>
      <c r="C201" s="79" t="str">
        <f t="shared" si="9"/>
        <v/>
      </c>
      <c r="D201" s="83"/>
      <c r="E201" s="84"/>
      <c r="F201" s="79" t="str">
        <f t="shared" si="10"/>
        <v/>
      </c>
      <c r="G201" s="83"/>
      <c r="H201" s="84"/>
      <c r="I201" s="79" t="str">
        <f t="shared" si="11"/>
        <v/>
      </c>
    </row>
    <row r="202" spans="1:9">
      <c r="A202" s="112"/>
      <c r="B202" s="113"/>
      <c r="C202" s="79" t="str">
        <f t="shared" si="9"/>
        <v/>
      </c>
      <c r="D202" s="83"/>
      <c r="E202" s="84"/>
      <c r="F202" s="79" t="str">
        <f t="shared" si="10"/>
        <v/>
      </c>
      <c r="G202" s="83"/>
      <c r="H202" s="84"/>
      <c r="I202" s="79" t="str">
        <f t="shared" si="11"/>
        <v/>
      </c>
    </row>
    <row r="203" spans="1:9">
      <c r="A203" s="112"/>
      <c r="B203" s="113"/>
      <c r="C203" s="79" t="str">
        <f t="shared" si="9"/>
        <v/>
      </c>
      <c r="D203" s="83"/>
      <c r="E203" s="84"/>
      <c r="F203" s="79" t="str">
        <f t="shared" si="10"/>
        <v/>
      </c>
      <c r="G203" s="83"/>
      <c r="H203" s="84"/>
      <c r="I203" s="79" t="str">
        <f t="shared" si="11"/>
        <v/>
      </c>
    </row>
    <row r="204" spans="1:9">
      <c r="A204" s="112"/>
      <c r="B204" s="113"/>
      <c r="C204" s="79" t="str">
        <f t="shared" si="9"/>
        <v/>
      </c>
      <c r="D204" s="83"/>
      <c r="E204" s="84"/>
      <c r="F204" s="79" t="str">
        <f t="shared" si="10"/>
        <v/>
      </c>
      <c r="G204" s="83"/>
      <c r="H204" s="84"/>
      <c r="I204" s="79" t="str">
        <f t="shared" si="11"/>
        <v/>
      </c>
    </row>
    <row r="205" spans="1:9">
      <c r="A205" s="112"/>
      <c r="B205" s="113"/>
      <c r="C205" s="79" t="str">
        <f t="shared" si="9"/>
        <v/>
      </c>
      <c r="D205" s="83"/>
      <c r="E205" s="84"/>
      <c r="F205" s="79" t="str">
        <f t="shared" si="10"/>
        <v/>
      </c>
      <c r="G205" s="83"/>
      <c r="H205" s="84"/>
      <c r="I205" s="79" t="str">
        <f t="shared" si="11"/>
        <v/>
      </c>
    </row>
    <row r="206" spans="1:9">
      <c r="A206" s="112"/>
      <c r="B206" s="113"/>
      <c r="C206" s="79" t="str">
        <f t="shared" si="9"/>
        <v/>
      </c>
      <c r="D206" s="83"/>
      <c r="E206" s="84"/>
      <c r="F206" s="79" t="str">
        <f t="shared" si="10"/>
        <v/>
      </c>
      <c r="G206" s="83"/>
      <c r="H206" s="84"/>
      <c r="I206" s="79" t="str">
        <f t="shared" si="11"/>
        <v/>
      </c>
    </row>
    <row r="207" spans="1:9">
      <c r="A207" s="112"/>
      <c r="B207" s="113"/>
      <c r="C207" s="79" t="str">
        <f t="shared" si="9"/>
        <v/>
      </c>
      <c r="D207" s="83"/>
      <c r="E207" s="84"/>
      <c r="F207" s="79" t="str">
        <f t="shared" si="10"/>
        <v/>
      </c>
      <c r="G207" s="83"/>
      <c r="H207" s="84"/>
      <c r="I207" s="79" t="str">
        <f t="shared" si="11"/>
        <v/>
      </c>
    </row>
    <row r="208" spans="1:9">
      <c r="A208" s="112"/>
      <c r="B208" s="113"/>
      <c r="C208" s="79" t="str">
        <f t="shared" si="9"/>
        <v/>
      </c>
      <c r="D208" s="83"/>
      <c r="E208" s="84"/>
      <c r="F208" s="79" t="str">
        <f t="shared" si="10"/>
        <v/>
      </c>
      <c r="G208" s="83"/>
      <c r="H208" s="84"/>
      <c r="I208" s="79" t="str">
        <f t="shared" si="11"/>
        <v/>
      </c>
    </row>
    <row r="209" spans="1:9">
      <c r="A209" s="112"/>
      <c r="B209" s="113"/>
      <c r="C209" s="79" t="str">
        <f t="shared" si="9"/>
        <v/>
      </c>
      <c r="D209" s="83"/>
      <c r="E209" s="84"/>
      <c r="F209" s="79" t="str">
        <f t="shared" si="10"/>
        <v/>
      </c>
      <c r="G209" s="83"/>
      <c r="H209" s="84"/>
      <c r="I209" s="79" t="str">
        <f t="shared" si="11"/>
        <v/>
      </c>
    </row>
    <row r="210" spans="1:9">
      <c r="A210" s="112"/>
      <c r="B210" s="113"/>
      <c r="C210" s="79" t="str">
        <f t="shared" si="9"/>
        <v/>
      </c>
      <c r="D210" s="83"/>
      <c r="E210" s="84"/>
      <c r="F210" s="79" t="str">
        <f t="shared" si="10"/>
        <v/>
      </c>
      <c r="G210" s="83"/>
      <c r="H210" s="84"/>
      <c r="I210" s="79" t="str">
        <f t="shared" si="11"/>
        <v/>
      </c>
    </row>
    <row r="211" spans="1:9">
      <c r="A211" s="112"/>
      <c r="B211" s="113"/>
      <c r="C211" s="79" t="str">
        <f t="shared" si="9"/>
        <v/>
      </c>
      <c r="D211" s="83"/>
      <c r="E211" s="84"/>
      <c r="F211" s="79" t="str">
        <f t="shared" si="10"/>
        <v/>
      </c>
      <c r="G211" s="83"/>
      <c r="H211" s="84"/>
      <c r="I211" s="79" t="str">
        <f t="shared" si="11"/>
        <v/>
      </c>
    </row>
    <row r="212" spans="1:9">
      <c r="A212" s="112"/>
      <c r="B212" s="113"/>
      <c r="C212" s="79" t="str">
        <f t="shared" si="9"/>
        <v/>
      </c>
      <c r="D212" s="83"/>
      <c r="E212" s="84"/>
      <c r="F212" s="79" t="str">
        <f t="shared" si="10"/>
        <v/>
      </c>
      <c r="G212" s="83"/>
      <c r="H212" s="84"/>
      <c r="I212" s="79" t="str">
        <f t="shared" si="11"/>
        <v/>
      </c>
    </row>
    <row r="213" spans="1:9">
      <c r="A213" s="112"/>
      <c r="B213" s="113"/>
      <c r="C213" s="79" t="str">
        <f t="shared" si="9"/>
        <v/>
      </c>
      <c r="D213" s="83"/>
      <c r="E213" s="84"/>
      <c r="F213" s="79" t="str">
        <f t="shared" si="10"/>
        <v/>
      </c>
      <c r="G213" s="83"/>
      <c r="H213" s="84"/>
      <c r="I213" s="79" t="str">
        <f t="shared" si="11"/>
        <v/>
      </c>
    </row>
    <row r="214" spans="1:9">
      <c r="A214" s="112"/>
      <c r="B214" s="113"/>
      <c r="C214" s="79" t="str">
        <f t="shared" si="9"/>
        <v/>
      </c>
      <c r="D214" s="83"/>
      <c r="E214" s="84"/>
      <c r="F214" s="79" t="str">
        <f t="shared" si="10"/>
        <v/>
      </c>
      <c r="G214" s="83"/>
      <c r="H214" s="84"/>
      <c r="I214" s="79" t="str">
        <f t="shared" si="11"/>
        <v/>
      </c>
    </row>
    <row r="215" spans="1:9">
      <c r="A215" s="112"/>
      <c r="B215" s="113"/>
      <c r="C215" s="79" t="str">
        <f t="shared" si="9"/>
        <v/>
      </c>
      <c r="D215" s="83"/>
      <c r="E215" s="84"/>
      <c r="F215" s="79" t="str">
        <f t="shared" si="10"/>
        <v/>
      </c>
      <c r="G215" s="83"/>
      <c r="H215" s="84"/>
      <c r="I215" s="79" t="str">
        <f t="shared" si="11"/>
        <v/>
      </c>
    </row>
    <row r="216" spans="1:9">
      <c r="A216" s="112"/>
      <c r="B216" s="113"/>
      <c r="C216" s="79" t="str">
        <f t="shared" si="9"/>
        <v/>
      </c>
      <c r="D216" s="83"/>
      <c r="E216" s="84"/>
      <c r="F216" s="79" t="str">
        <f t="shared" si="10"/>
        <v/>
      </c>
      <c r="G216" s="83"/>
      <c r="H216" s="84"/>
      <c r="I216" s="79" t="str">
        <f t="shared" si="11"/>
        <v/>
      </c>
    </row>
    <row r="217" spans="1:9">
      <c r="A217" s="112"/>
      <c r="B217" s="113"/>
      <c r="C217" s="79" t="str">
        <f t="shared" si="9"/>
        <v/>
      </c>
      <c r="D217" s="83"/>
      <c r="E217" s="84"/>
      <c r="F217" s="79" t="str">
        <f t="shared" si="10"/>
        <v/>
      </c>
      <c r="G217" s="83"/>
      <c r="H217" s="84"/>
      <c r="I217" s="79" t="str">
        <f t="shared" si="11"/>
        <v/>
      </c>
    </row>
    <row r="218" spans="1:9">
      <c r="A218" s="112"/>
      <c r="B218" s="113"/>
      <c r="C218" s="79" t="str">
        <f t="shared" si="9"/>
        <v/>
      </c>
      <c r="D218" s="83"/>
      <c r="E218" s="84"/>
      <c r="F218" s="79" t="str">
        <f t="shared" si="10"/>
        <v/>
      </c>
      <c r="G218" s="83"/>
      <c r="H218" s="84"/>
      <c r="I218" s="79" t="str">
        <f t="shared" si="11"/>
        <v/>
      </c>
    </row>
    <row r="219" spans="1:9">
      <c r="A219" s="112"/>
      <c r="B219" s="113"/>
      <c r="C219" s="79" t="str">
        <f t="shared" si="9"/>
        <v/>
      </c>
      <c r="D219" s="83"/>
      <c r="E219" s="84"/>
      <c r="F219" s="79" t="str">
        <f t="shared" si="10"/>
        <v/>
      </c>
      <c r="G219" s="83"/>
      <c r="H219" s="84"/>
      <c r="I219" s="79" t="str">
        <f t="shared" si="11"/>
        <v/>
      </c>
    </row>
    <row r="220" spans="1:9">
      <c r="A220" s="112"/>
      <c r="B220" s="113"/>
      <c r="C220" s="79" t="str">
        <f t="shared" si="9"/>
        <v/>
      </c>
      <c r="D220" s="83"/>
      <c r="E220" s="84"/>
      <c r="F220" s="79" t="str">
        <f t="shared" si="10"/>
        <v/>
      </c>
      <c r="G220" s="83"/>
      <c r="H220" s="84"/>
      <c r="I220" s="79" t="str">
        <f t="shared" si="11"/>
        <v/>
      </c>
    </row>
    <row r="221" spans="1:9">
      <c r="A221" s="112"/>
      <c r="B221" s="113"/>
      <c r="C221" s="79" t="str">
        <f t="shared" si="9"/>
        <v/>
      </c>
      <c r="D221" s="83"/>
      <c r="E221" s="84"/>
      <c r="F221" s="79" t="str">
        <f t="shared" si="10"/>
        <v/>
      </c>
      <c r="G221" s="83"/>
      <c r="H221" s="84"/>
      <c r="I221" s="79" t="str">
        <f t="shared" si="11"/>
        <v/>
      </c>
    </row>
    <row r="222" spans="1:9">
      <c r="A222" s="112"/>
      <c r="B222" s="113"/>
      <c r="C222" s="79" t="str">
        <f t="shared" si="9"/>
        <v/>
      </c>
      <c r="D222" s="83"/>
      <c r="E222" s="84"/>
      <c r="F222" s="79" t="str">
        <f t="shared" si="10"/>
        <v/>
      </c>
      <c r="G222" s="83"/>
      <c r="H222" s="84"/>
      <c r="I222" s="79" t="str">
        <f t="shared" si="11"/>
        <v/>
      </c>
    </row>
    <row r="223" spans="1:9">
      <c r="A223" s="112"/>
      <c r="B223" s="113"/>
      <c r="C223" s="79" t="str">
        <f t="shared" si="9"/>
        <v/>
      </c>
      <c r="D223" s="83"/>
      <c r="E223" s="84"/>
      <c r="F223" s="79" t="str">
        <f t="shared" si="10"/>
        <v/>
      </c>
      <c r="G223" s="83"/>
      <c r="H223" s="84"/>
      <c r="I223" s="79" t="str">
        <f t="shared" si="11"/>
        <v/>
      </c>
    </row>
    <row r="224" spans="1:9">
      <c r="A224" s="112"/>
      <c r="B224" s="113"/>
      <c r="C224" s="79" t="str">
        <f t="shared" si="9"/>
        <v/>
      </c>
      <c r="D224" s="83"/>
      <c r="E224" s="84"/>
      <c r="F224" s="79" t="str">
        <f t="shared" si="10"/>
        <v/>
      </c>
      <c r="G224" s="83"/>
      <c r="H224" s="84"/>
      <c r="I224" s="79" t="str">
        <f t="shared" si="11"/>
        <v/>
      </c>
    </row>
    <row r="225" spans="1:9">
      <c r="A225" s="112"/>
      <c r="B225" s="113"/>
      <c r="C225" s="79" t="str">
        <f t="shared" si="9"/>
        <v/>
      </c>
      <c r="D225" s="83"/>
      <c r="E225" s="84"/>
      <c r="F225" s="79" t="str">
        <f t="shared" si="10"/>
        <v/>
      </c>
      <c r="G225" s="83"/>
      <c r="H225" s="84"/>
      <c r="I225" s="79" t="str">
        <f t="shared" si="11"/>
        <v/>
      </c>
    </row>
    <row r="226" spans="1:9">
      <c r="A226" s="112"/>
      <c r="B226" s="113"/>
      <c r="C226" s="79" t="str">
        <f t="shared" si="9"/>
        <v/>
      </c>
      <c r="D226" s="83"/>
      <c r="E226" s="84"/>
      <c r="F226" s="79" t="str">
        <f t="shared" si="10"/>
        <v/>
      </c>
      <c r="G226" s="83"/>
      <c r="H226" s="84"/>
      <c r="I226" s="79" t="str">
        <f t="shared" si="11"/>
        <v/>
      </c>
    </row>
    <row r="227" spans="1:9">
      <c r="A227" s="112"/>
      <c r="B227" s="113"/>
      <c r="C227" s="79" t="str">
        <f t="shared" si="9"/>
        <v/>
      </c>
      <c r="D227" s="83"/>
      <c r="E227" s="84"/>
      <c r="F227" s="79" t="str">
        <f t="shared" si="10"/>
        <v/>
      </c>
      <c r="G227" s="83"/>
      <c r="H227" s="84"/>
      <c r="I227" s="79" t="str">
        <f t="shared" si="11"/>
        <v/>
      </c>
    </row>
    <row r="228" spans="1:9">
      <c r="A228" s="112"/>
      <c r="B228" s="113"/>
      <c r="C228" s="79" t="str">
        <f t="shared" si="9"/>
        <v/>
      </c>
      <c r="D228" s="83"/>
      <c r="E228" s="84"/>
      <c r="F228" s="79" t="str">
        <f t="shared" si="10"/>
        <v/>
      </c>
      <c r="G228" s="83"/>
      <c r="H228" s="84"/>
      <c r="I228" s="79" t="str">
        <f t="shared" si="11"/>
        <v/>
      </c>
    </row>
    <row r="229" spans="1:9">
      <c r="A229" s="112"/>
      <c r="B229" s="113"/>
      <c r="C229" s="79" t="str">
        <f t="shared" si="9"/>
        <v/>
      </c>
      <c r="D229" s="83"/>
      <c r="E229" s="84"/>
      <c r="F229" s="79" t="str">
        <f t="shared" si="10"/>
        <v/>
      </c>
      <c r="G229" s="83"/>
      <c r="H229" s="84"/>
      <c r="I229" s="79" t="str">
        <f t="shared" si="11"/>
        <v/>
      </c>
    </row>
    <row r="230" spans="1:9">
      <c r="A230" s="112"/>
      <c r="B230" s="113"/>
      <c r="C230" s="79" t="str">
        <f t="shared" si="9"/>
        <v/>
      </c>
      <c r="D230" s="83"/>
      <c r="E230" s="84"/>
      <c r="F230" s="79" t="str">
        <f t="shared" si="10"/>
        <v/>
      </c>
      <c r="G230" s="83"/>
      <c r="H230" s="84"/>
      <c r="I230" s="79" t="str">
        <f t="shared" si="11"/>
        <v/>
      </c>
    </row>
    <row r="231" spans="1:9">
      <c r="A231" s="112"/>
      <c r="B231" s="113"/>
      <c r="C231" s="79" t="str">
        <f t="shared" si="9"/>
        <v/>
      </c>
      <c r="D231" s="83"/>
      <c r="E231" s="84"/>
      <c r="F231" s="79" t="str">
        <f t="shared" si="10"/>
        <v/>
      </c>
      <c r="G231" s="83"/>
      <c r="H231" s="84"/>
      <c r="I231" s="79" t="str">
        <f t="shared" si="11"/>
        <v/>
      </c>
    </row>
    <row r="232" spans="1:9">
      <c r="A232" s="112"/>
      <c r="B232" s="113"/>
      <c r="C232" s="79" t="str">
        <f t="shared" si="9"/>
        <v/>
      </c>
      <c r="D232" s="83"/>
      <c r="E232" s="84"/>
      <c r="F232" s="79" t="str">
        <f t="shared" si="10"/>
        <v/>
      </c>
      <c r="G232" s="83"/>
      <c r="H232" s="84"/>
      <c r="I232" s="79" t="str">
        <f t="shared" si="11"/>
        <v/>
      </c>
    </row>
    <row r="233" spans="1:9">
      <c r="A233" s="112"/>
      <c r="B233" s="113"/>
      <c r="C233" s="79" t="str">
        <f t="shared" si="9"/>
        <v/>
      </c>
      <c r="D233" s="83"/>
      <c r="E233" s="84"/>
      <c r="F233" s="79" t="str">
        <f t="shared" si="10"/>
        <v/>
      </c>
      <c r="G233" s="83"/>
      <c r="H233" s="84"/>
      <c r="I233" s="79" t="str">
        <f t="shared" si="11"/>
        <v/>
      </c>
    </row>
    <row r="234" spans="1:9">
      <c r="A234" s="112"/>
      <c r="B234" s="113"/>
      <c r="C234" s="79" t="str">
        <f t="shared" si="9"/>
        <v/>
      </c>
      <c r="D234" s="83"/>
      <c r="E234" s="84"/>
      <c r="F234" s="79" t="str">
        <f t="shared" si="10"/>
        <v/>
      </c>
      <c r="G234" s="83"/>
      <c r="H234" s="84"/>
      <c r="I234" s="79" t="str">
        <f t="shared" si="11"/>
        <v/>
      </c>
    </row>
    <row r="235" spans="1:9">
      <c r="A235" s="112"/>
      <c r="B235" s="113"/>
      <c r="C235" s="79" t="str">
        <f t="shared" si="9"/>
        <v/>
      </c>
      <c r="D235" s="83"/>
      <c r="E235" s="84"/>
      <c r="F235" s="79" t="str">
        <f t="shared" si="10"/>
        <v/>
      </c>
      <c r="G235" s="83"/>
      <c r="H235" s="84"/>
      <c r="I235" s="79" t="str">
        <f t="shared" si="11"/>
        <v/>
      </c>
    </row>
    <row r="236" spans="1:9">
      <c r="A236" s="112"/>
      <c r="B236" s="113"/>
      <c r="C236" s="79" t="str">
        <f t="shared" si="9"/>
        <v/>
      </c>
      <c r="D236" s="83"/>
      <c r="E236" s="84"/>
      <c r="F236" s="79" t="str">
        <f t="shared" si="10"/>
        <v/>
      </c>
      <c r="G236" s="83"/>
      <c r="H236" s="84"/>
      <c r="I236" s="79" t="str">
        <f t="shared" si="11"/>
        <v/>
      </c>
    </row>
    <row r="237" spans="1:9">
      <c r="A237" s="112"/>
      <c r="B237" s="113"/>
      <c r="C237" s="79" t="str">
        <f t="shared" si="9"/>
        <v/>
      </c>
      <c r="D237" s="83"/>
      <c r="E237" s="84"/>
      <c r="F237" s="79" t="str">
        <f t="shared" si="10"/>
        <v/>
      </c>
      <c r="G237" s="83"/>
      <c r="H237" s="84"/>
      <c r="I237" s="79" t="str">
        <f t="shared" si="11"/>
        <v/>
      </c>
    </row>
    <row r="238" spans="1:9">
      <c r="A238" s="112"/>
      <c r="B238" s="113"/>
      <c r="C238" s="79" t="str">
        <f t="shared" si="9"/>
        <v/>
      </c>
      <c r="D238" s="83"/>
      <c r="E238" s="84"/>
      <c r="F238" s="79" t="str">
        <f t="shared" si="10"/>
        <v/>
      </c>
      <c r="G238" s="83"/>
      <c r="H238" s="84"/>
      <c r="I238" s="79" t="str">
        <f t="shared" si="11"/>
        <v/>
      </c>
    </row>
    <row r="239" spans="1:9">
      <c r="A239" s="112"/>
      <c r="B239" s="113"/>
      <c r="C239" s="79" t="str">
        <f t="shared" si="9"/>
        <v/>
      </c>
      <c r="D239" s="83"/>
      <c r="E239" s="84"/>
      <c r="F239" s="79" t="str">
        <f t="shared" si="10"/>
        <v/>
      </c>
      <c r="G239" s="83"/>
      <c r="H239" s="84"/>
      <c r="I239" s="79" t="str">
        <f t="shared" si="11"/>
        <v/>
      </c>
    </row>
    <row r="240" spans="1:9">
      <c r="A240" s="112"/>
      <c r="B240" s="113"/>
      <c r="C240" s="79" t="str">
        <f t="shared" si="9"/>
        <v/>
      </c>
      <c r="D240" s="83"/>
      <c r="E240" s="84"/>
      <c r="F240" s="79" t="str">
        <f t="shared" si="10"/>
        <v/>
      </c>
      <c r="G240" s="83"/>
      <c r="H240" s="84"/>
      <c r="I240" s="79" t="str">
        <f t="shared" si="11"/>
        <v/>
      </c>
    </row>
    <row r="241" spans="1:9">
      <c r="A241" s="112"/>
      <c r="B241" s="113"/>
      <c r="C241" s="79" t="str">
        <f t="shared" si="9"/>
        <v/>
      </c>
      <c r="D241" s="83"/>
      <c r="E241" s="84"/>
      <c r="F241" s="79" t="str">
        <f t="shared" si="10"/>
        <v/>
      </c>
      <c r="G241" s="83"/>
      <c r="H241" s="84"/>
      <c r="I241" s="79" t="str">
        <f t="shared" si="11"/>
        <v/>
      </c>
    </row>
    <row r="242" spans="1:9">
      <c r="A242" s="83"/>
      <c r="B242" s="84"/>
      <c r="C242" s="79" t="str">
        <f t="shared" si="9"/>
        <v/>
      </c>
      <c r="D242" s="83"/>
      <c r="E242" s="84"/>
      <c r="F242" s="79" t="str">
        <f t="shared" si="10"/>
        <v/>
      </c>
      <c r="G242" s="83"/>
      <c r="H242" s="84"/>
      <c r="I242" s="79" t="str">
        <f t="shared" si="11"/>
        <v/>
      </c>
    </row>
    <row r="243" spans="1:9">
      <c r="A243" s="83"/>
      <c r="B243" s="84"/>
      <c r="C243" s="79" t="str">
        <f t="shared" si="9"/>
        <v/>
      </c>
      <c r="D243" s="83"/>
      <c r="E243" s="84"/>
      <c r="F243" s="79" t="str">
        <f t="shared" si="10"/>
        <v/>
      </c>
      <c r="G243" s="83"/>
      <c r="H243" s="84"/>
      <c r="I243" s="79" t="str">
        <f t="shared" si="11"/>
        <v/>
      </c>
    </row>
    <row r="244" spans="1:9">
      <c r="A244" s="83"/>
      <c r="B244" s="84"/>
      <c r="C244" s="79" t="str">
        <f t="shared" si="9"/>
        <v/>
      </c>
      <c r="D244" s="83"/>
      <c r="E244" s="84"/>
      <c r="F244" s="79" t="str">
        <f t="shared" si="10"/>
        <v/>
      </c>
      <c r="G244" s="83"/>
      <c r="H244" s="84"/>
      <c r="I244" s="79" t="str">
        <f t="shared" si="11"/>
        <v/>
      </c>
    </row>
    <row r="245" spans="1:9">
      <c r="A245" s="83"/>
      <c r="B245" s="84"/>
      <c r="C245" s="79" t="str">
        <f t="shared" si="9"/>
        <v/>
      </c>
      <c r="D245" s="83"/>
      <c r="E245" s="84"/>
      <c r="F245" s="79" t="str">
        <f t="shared" si="10"/>
        <v/>
      </c>
      <c r="G245" s="83"/>
      <c r="H245" s="84"/>
      <c r="I245" s="79" t="str">
        <f t="shared" si="11"/>
        <v/>
      </c>
    </row>
    <row r="246" spans="1:9">
      <c r="A246" s="83"/>
      <c r="B246" s="84"/>
      <c r="C246" s="79" t="str">
        <f t="shared" si="9"/>
        <v/>
      </c>
      <c r="D246" s="83"/>
      <c r="E246" s="84"/>
      <c r="F246" s="79" t="str">
        <f t="shared" si="10"/>
        <v/>
      </c>
      <c r="G246" s="83"/>
      <c r="H246" s="84"/>
      <c r="I246" s="79" t="str">
        <f t="shared" si="11"/>
        <v/>
      </c>
    </row>
    <row r="247" spans="1:9">
      <c r="A247" s="83"/>
      <c r="B247" s="84"/>
      <c r="C247" s="79" t="str">
        <f t="shared" si="9"/>
        <v/>
      </c>
      <c r="D247" s="83"/>
      <c r="E247" s="84"/>
      <c r="F247" s="79" t="str">
        <f t="shared" si="10"/>
        <v/>
      </c>
      <c r="G247" s="83"/>
      <c r="H247" s="84"/>
      <c r="I247" s="79" t="str">
        <f t="shared" si="11"/>
        <v/>
      </c>
    </row>
    <row r="248" spans="1:9">
      <c r="A248" s="83"/>
      <c r="B248" s="84"/>
      <c r="C248" s="79" t="str">
        <f t="shared" si="9"/>
        <v/>
      </c>
      <c r="D248" s="83"/>
      <c r="E248" s="84"/>
      <c r="F248" s="79" t="str">
        <f t="shared" si="10"/>
        <v/>
      </c>
      <c r="G248" s="83"/>
      <c r="H248" s="84"/>
      <c r="I248" s="79" t="str">
        <f t="shared" si="11"/>
        <v/>
      </c>
    </row>
    <row r="249" spans="1:9">
      <c r="A249" s="83"/>
      <c r="B249" s="84"/>
      <c r="C249" s="79" t="str">
        <f t="shared" si="9"/>
        <v/>
      </c>
      <c r="D249" s="83"/>
      <c r="E249" s="84"/>
      <c r="F249" s="79" t="str">
        <f t="shared" si="10"/>
        <v/>
      </c>
      <c r="G249" s="83"/>
      <c r="H249" s="84"/>
      <c r="I249" s="79" t="str">
        <f t="shared" si="11"/>
        <v/>
      </c>
    </row>
    <row r="250" spans="1:9">
      <c r="A250" s="83"/>
      <c r="B250" s="84"/>
      <c r="C250" s="79" t="str">
        <f t="shared" si="9"/>
        <v/>
      </c>
      <c r="D250" s="83"/>
      <c r="E250" s="84"/>
      <c r="F250" s="79" t="str">
        <f t="shared" si="10"/>
        <v/>
      </c>
      <c r="G250" s="83"/>
      <c r="H250" s="84"/>
      <c r="I250" s="79" t="str">
        <f t="shared" si="11"/>
        <v/>
      </c>
    </row>
    <row r="251" spans="1:9">
      <c r="A251" s="83"/>
      <c r="B251" s="84"/>
      <c r="C251" s="79" t="str">
        <f t="shared" si="9"/>
        <v/>
      </c>
      <c r="D251" s="83"/>
      <c r="E251" s="84"/>
      <c r="F251" s="79" t="str">
        <f t="shared" si="10"/>
        <v/>
      </c>
      <c r="G251" s="83"/>
      <c r="H251" s="84"/>
      <c r="I251" s="79" t="str">
        <f t="shared" si="11"/>
        <v/>
      </c>
    </row>
    <row r="252" spans="1:9">
      <c r="A252" s="83"/>
      <c r="B252" s="84"/>
      <c r="C252" s="79" t="str">
        <f t="shared" si="9"/>
        <v/>
      </c>
      <c r="D252" s="83"/>
      <c r="E252" s="84"/>
      <c r="F252" s="79" t="str">
        <f t="shared" si="10"/>
        <v/>
      </c>
      <c r="G252" s="83"/>
      <c r="H252" s="84"/>
      <c r="I252" s="79" t="str">
        <f t="shared" si="11"/>
        <v/>
      </c>
    </row>
    <row r="253" spans="1:9">
      <c r="A253" s="83"/>
      <c r="B253" s="84"/>
      <c r="C253" s="79" t="str">
        <f t="shared" si="9"/>
        <v/>
      </c>
      <c r="D253" s="83"/>
      <c r="E253" s="84"/>
      <c r="F253" s="79" t="str">
        <f t="shared" si="10"/>
        <v/>
      </c>
      <c r="G253" s="83"/>
      <c r="H253" s="84"/>
      <c r="I253" s="79" t="str">
        <f t="shared" si="11"/>
        <v/>
      </c>
    </row>
    <row r="254" spans="1:9">
      <c r="A254" s="83"/>
      <c r="B254" s="84"/>
      <c r="C254" s="79" t="str">
        <f t="shared" si="9"/>
        <v/>
      </c>
      <c r="D254" s="83"/>
      <c r="E254" s="84"/>
      <c r="F254" s="79" t="str">
        <f t="shared" si="10"/>
        <v/>
      </c>
      <c r="G254" s="83"/>
      <c r="H254" s="84"/>
      <c r="I254" s="79" t="str">
        <f t="shared" si="11"/>
        <v/>
      </c>
    </row>
    <row r="255" spans="1:9">
      <c r="A255" s="83"/>
      <c r="B255" s="84"/>
      <c r="C255" s="79" t="str">
        <f t="shared" si="9"/>
        <v/>
      </c>
      <c r="D255" s="83"/>
      <c r="E255" s="84"/>
      <c r="F255" s="79" t="str">
        <f t="shared" si="10"/>
        <v/>
      </c>
      <c r="G255" s="83"/>
      <c r="H255" s="84"/>
      <c r="I255" s="79" t="str">
        <f t="shared" si="11"/>
        <v/>
      </c>
    </row>
    <row r="256" spans="1:9">
      <c r="A256" s="83"/>
      <c r="B256" s="84"/>
      <c r="C256" s="79" t="str">
        <f t="shared" si="9"/>
        <v/>
      </c>
      <c r="D256" s="83"/>
      <c r="E256" s="84"/>
      <c r="F256" s="79" t="str">
        <f t="shared" si="10"/>
        <v/>
      </c>
      <c r="G256" s="83"/>
      <c r="H256" s="84"/>
      <c r="I256" s="79" t="str">
        <f t="shared" si="11"/>
        <v/>
      </c>
    </row>
    <row r="257" spans="1:9">
      <c r="A257" s="83"/>
      <c r="B257" s="84"/>
      <c r="C257" s="79" t="str">
        <f t="shared" si="9"/>
        <v/>
      </c>
      <c r="D257" s="83"/>
      <c r="E257" s="84"/>
      <c r="F257" s="79" t="str">
        <f t="shared" si="10"/>
        <v/>
      </c>
      <c r="G257" s="83"/>
      <c r="H257" s="84"/>
      <c r="I257" s="79" t="str">
        <f t="shared" si="11"/>
        <v/>
      </c>
    </row>
    <row r="258" spans="1:9">
      <c r="A258" s="83"/>
      <c r="B258" s="84"/>
      <c r="C258" s="79" t="str">
        <f t="shared" si="9"/>
        <v/>
      </c>
      <c r="D258" s="83"/>
      <c r="E258" s="84"/>
      <c r="F258" s="79" t="str">
        <f t="shared" si="10"/>
        <v/>
      </c>
      <c r="G258" s="83"/>
      <c r="H258" s="84"/>
      <c r="I258" s="79" t="str">
        <f t="shared" si="11"/>
        <v/>
      </c>
    </row>
    <row r="259" spans="1:9">
      <c r="A259" s="83"/>
      <c r="B259" s="84"/>
      <c r="C259" s="79" t="str">
        <f t="shared" si="9"/>
        <v/>
      </c>
      <c r="D259" s="83"/>
      <c r="E259" s="84"/>
      <c r="F259" s="79" t="str">
        <f t="shared" si="10"/>
        <v/>
      </c>
      <c r="G259" s="83"/>
      <c r="H259" s="84"/>
      <c r="I259" s="79" t="str">
        <f t="shared" si="11"/>
        <v/>
      </c>
    </row>
    <row r="260" spans="1:9">
      <c r="A260" s="83"/>
      <c r="B260" s="84"/>
      <c r="C260" s="79" t="str">
        <f t="shared" si="9"/>
        <v/>
      </c>
      <c r="D260" s="83"/>
      <c r="E260" s="84"/>
      <c r="F260" s="79" t="str">
        <f t="shared" si="10"/>
        <v/>
      </c>
      <c r="G260" s="83"/>
      <c r="H260" s="84"/>
      <c r="I260" s="79" t="str">
        <f t="shared" si="11"/>
        <v/>
      </c>
    </row>
    <row r="261" spans="1:9">
      <c r="A261" s="83"/>
      <c r="B261" s="84"/>
      <c r="C261" s="79" t="str">
        <f t="shared" ref="C261:C304" si="12">IF(B261&gt;0,TEXT(B261,"(aaa)"),"")</f>
        <v/>
      </c>
      <c r="D261" s="83"/>
      <c r="E261" s="84"/>
      <c r="F261" s="79" t="str">
        <f t="shared" ref="F261:F304" si="13">IF(E261&gt;0,TEXT(E261,"(aaa)"),"")</f>
        <v/>
      </c>
      <c r="G261" s="83"/>
      <c r="H261" s="84"/>
      <c r="I261" s="79" t="str">
        <f t="shared" ref="I261:I304" si="14">IF(H261&gt;0,TEXT(H261,"(aaa)"),"")</f>
        <v/>
      </c>
    </row>
    <row r="262" spans="1:9">
      <c r="A262" s="83"/>
      <c r="B262" s="84"/>
      <c r="C262" s="79" t="str">
        <f t="shared" si="12"/>
        <v/>
      </c>
      <c r="D262" s="83"/>
      <c r="E262" s="84"/>
      <c r="F262" s="79" t="str">
        <f t="shared" si="13"/>
        <v/>
      </c>
      <c r="G262" s="83"/>
      <c r="H262" s="84"/>
      <c r="I262" s="79" t="str">
        <f t="shared" si="14"/>
        <v/>
      </c>
    </row>
    <row r="263" spans="1:9">
      <c r="A263" s="83"/>
      <c r="B263" s="84"/>
      <c r="C263" s="79" t="str">
        <f t="shared" si="12"/>
        <v/>
      </c>
      <c r="D263" s="83"/>
      <c r="E263" s="84"/>
      <c r="F263" s="79" t="str">
        <f t="shared" si="13"/>
        <v/>
      </c>
      <c r="G263" s="83"/>
      <c r="H263" s="84"/>
      <c r="I263" s="79" t="str">
        <f t="shared" si="14"/>
        <v/>
      </c>
    </row>
    <row r="264" spans="1:9">
      <c r="A264" s="83"/>
      <c r="B264" s="84"/>
      <c r="C264" s="79" t="str">
        <f t="shared" si="12"/>
        <v/>
      </c>
      <c r="D264" s="83"/>
      <c r="E264" s="84"/>
      <c r="F264" s="79" t="str">
        <f t="shared" si="13"/>
        <v/>
      </c>
      <c r="G264" s="83"/>
      <c r="H264" s="84"/>
      <c r="I264" s="79" t="str">
        <f t="shared" si="14"/>
        <v/>
      </c>
    </row>
    <row r="265" spans="1:9">
      <c r="A265" s="83"/>
      <c r="B265" s="84"/>
      <c r="C265" s="79" t="str">
        <f t="shared" si="12"/>
        <v/>
      </c>
      <c r="D265" s="83"/>
      <c r="E265" s="84"/>
      <c r="F265" s="79" t="str">
        <f t="shared" si="13"/>
        <v/>
      </c>
      <c r="G265" s="83"/>
      <c r="H265" s="84"/>
      <c r="I265" s="79" t="str">
        <f t="shared" si="14"/>
        <v/>
      </c>
    </row>
    <row r="266" spans="1:9">
      <c r="A266" s="83"/>
      <c r="B266" s="84"/>
      <c r="C266" s="79" t="str">
        <f t="shared" si="12"/>
        <v/>
      </c>
      <c r="D266" s="83"/>
      <c r="E266" s="84"/>
      <c r="F266" s="79" t="str">
        <f t="shared" si="13"/>
        <v/>
      </c>
      <c r="G266" s="83"/>
      <c r="H266" s="84"/>
      <c r="I266" s="79" t="str">
        <f t="shared" si="14"/>
        <v/>
      </c>
    </row>
    <row r="267" spans="1:9">
      <c r="A267" s="83"/>
      <c r="B267" s="84"/>
      <c r="C267" s="79" t="str">
        <f t="shared" si="12"/>
        <v/>
      </c>
      <c r="D267" s="83"/>
      <c r="E267" s="84"/>
      <c r="F267" s="79" t="str">
        <f t="shared" si="13"/>
        <v/>
      </c>
      <c r="G267" s="83"/>
      <c r="H267" s="84"/>
      <c r="I267" s="79" t="str">
        <f t="shared" si="14"/>
        <v/>
      </c>
    </row>
    <row r="268" spans="1:9">
      <c r="A268" s="83"/>
      <c r="B268" s="84"/>
      <c r="C268" s="79" t="str">
        <f t="shared" si="12"/>
        <v/>
      </c>
      <c r="D268" s="83"/>
      <c r="E268" s="84"/>
      <c r="F268" s="79" t="str">
        <f t="shared" si="13"/>
        <v/>
      </c>
      <c r="G268" s="83"/>
      <c r="H268" s="84"/>
      <c r="I268" s="79" t="str">
        <f t="shared" si="14"/>
        <v/>
      </c>
    </row>
    <row r="269" spans="1:9">
      <c r="A269" s="83"/>
      <c r="B269" s="84"/>
      <c r="C269" s="79" t="str">
        <f t="shared" si="12"/>
        <v/>
      </c>
      <c r="D269" s="83"/>
      <c r="E269" s="84"/>
      <c r="F269" s="79" t="str">
        <f t="shared" si="13"/>
        <v/>
      </c>
      <c r="G269" s="83"/>
      <c r="H269" s="84"/>
      <c r="I269" s="79" t="str">
        <f t="shared" si="14"/>
        <v/>
      </c>
    </row>
    <row r="270" spans="1:9">
      <c r="A270" s="83"/>
      <c r="B270" s="84"/>
      <c r="C270" s="79" t="str">
        <f t="shared" si="12"/>
        <v/>
      </c>
      <c r="D270" s="83"/>
      <c r="E270" s="84"/>
      <c r="F270" s="79" t="str">
        <f t="shared" si="13"/>
        <v/>
      </c>
      <c r="G270" s="83"/>
      <c r="H270" s="84"/>
      <c r="I270" s="79" t="str">
        <f t="shared" si="14"/>
        <v/>
      </c>
    </row>
    <row r="271" spans="1:9">
      <c r="A271" s="83"/>
      <c r="B271" s="84"/>
      <c r="C271" s="79" t="str">
        <f t="shared" si="12"/>
        <v/>
      </c>
      <c r="D271" s="83"/>
      <c r="E271" s="84"/>
      <c r="F271" s="79" t="str">
        <f t="shared" si="13"/>
        <v/>
      </c>
      <c r="G271" s="83"/>
      <c r="H271" s="84"/>
      <c r="I271" s="79" t="str">
        <f t="shared" si="14"/>
        <v/>
      </c>
    </row>
    <row r="272" spans="1:9">
      <c r="A272" s="83"/>
      <c r="B272" s="84"/>
      <c r="C272" s="79" t="str">
        <f t="shared" si="12"/>
        <v/>
      </c>
      <c r="D272" s="83"/>
      <c r="E272" s="84"/>
      <c r="F272" s="79" t="str">
        <f t="shared" si="13"/>
        <v/>
      </c>
      <c r="G272" s="83"/>
      <c r="H272" s="84"/>
      <c r="I272" s="79" t="str">
        <f t="shared" si="14"/>
        <v/>
      </c>
    </row>
    <row r="273" spans="1:9">
      <c r="A273" s="83"/>
      <c r="B273" s="84"/>
      <c r="C273" s="79" t="str">
        <f t="shared" si="12"/>
        <v/>
      </c>
      <c r="D273" s="83"/>
      <c r="E273" s="84"/>
      <c r="F273" s="79" t="str">
        <f t="shared" si="13"/>
        <v/>
      </c>
      <c r="G273" s="83"/>
      <c r="H273" s="84"/>
      <c r="I273" s="79" t="str">
        <f t="shared" si="14"/>
        <v/>
      </c>
    </row>
    <row r="274" spans="1:9">
      <c r="A274" s="83"/>
      <c r="B274" s="84"/>
      <c r="C274" s="79" t="str">
        <f t="shared" si="12"/>
        <v/>
      </c>
      <c r="D274" s="83"/>
      <c r="E274" s="84"/>
      <c r="F274" s="79" t="str">
        <f t="shared" si="13"/>
        <v/>
      </c>
      <c r="G274" s="83"/>
      <c r="H274" s="84"/>
      <c r="I274" s="79" t="str">
        <f t="shared" si="14"/>
        <v/>
      </c>
    </row>
    <row r="275" spans="1:9">
      <c r="A275" s="83"/>
      <c r="B275" s="84"/>
      <c r="C275" s="79" t="str">
        <f t="shared" si="12"/>
        <v/>
      </c>
      <c r="D275" s="83"/>
      <c r="E275" s="84"/>
      <c r="F275" s="79" t="str">
        <f t="shared" si="13"/>
        <v/>
      </c>
      <c r="G275" s="83"/>
      <c r="H275" s="84"/>
      <c r="I275" s="79" t="str">
        <f t="shared" si="14"/>
        <v/>
      </c>
    </row>
    <row r="276" spans="1:9">
      <c r="A276" s="83"/>
      <c r="B276" s="84"/>
      <c r="C276" s="79" t="str">
        <f t="shared" si="12"/>
        <v/>
      </c>
      <c r="D276" s="83"/>
      <c r="E276" s="84"/>
      <c r="F276" s="79" t="str">
        <f t="shared" si="13"/>
        <v/>
      </c>
      <c r="G276" s="83"/>
      <c r="H276" s="84"/>
      <c r="I276" s="79" t="str">
        <f t="shared" si="14"/>
        <v/>
      </c>
    </row>
    <row r="277" spans="1:9">
      <c r="A277" s="83"/>
      <c r="B277" s="84"/>
      <c r="C277" s="79" t="str">
        <f t="shared" si="12"/>
        <v/>
      </c>
      <c r="D277" s="83"/>
      <c r="E277" s="84"/>
      <c r="F277" s="79" t="str">
        <f t="shared" si="13"/>
        <v/>
      </c>
      <c r="G277" s="83"/>
      <c r="H277" s="84"/>
      <c r="I277" s="79" t="str">
        <f t="shared" si="14"/>
        <v/>
      </c>
    </row>
    <row r="278" spans="1:9">
      <c r="A278" s="83"/>
      <c r="B278" s="84"/>
      <c r="C278" s="79" t="str">
        <f t="shared" si="12"/>
        <v/>
      </c>
      <c r="D278" s="83"/>
      <c r="E278" s="84"/>
      <c r="F278" s="79" t="str">
        <f t="shared" si="13"/>
        <v/>
      </c>
      <c r="G278" s="83"/>
      <c r="H278" s="84"/>
      <c r="I278" s="79" t="str">
        <f t="shared" si="14"/>
        <v/>
      </c>
    </row>
    <row r="279" spans="1:9">
      <c r="A279" s="83"/>
      <c r="B279" s="84"/>
      <c r="C279" s="79" t="str">
        <f t="shared" si="12"/>
        <v/>
      </c>
      <c r="D279" s="83"/>
      <c r="E279" s="84"/>
      <c r="F279" s="79" t="str">
        <f t="shared" si="13"/>
        <v/>
      </c>
      <c r="G279" s="83"/>
      <c r="H279" s="84"/>
      <c r="I279" s="79" t="str">
        <f t="shared" si="14"/>
        <v/>
      </c>
    </row>
    <row r="280" spans="1:9">
      <c r="A280" s="83"/>
      <c r="B280" s="84"/>
      <c r="C280" s="79" t="str">
        <f t="shared" si="12"/>
        <v/>
      </c>
      <c r="D280" s="83"/>
      <c r="E280" s="84"/>
      <c r="F280" s="79" t="str">
        <f t="shared" si="13"/>
        <v/>
      </c>
      <c r="G280" s="83"/>
      <c r="H280" s="84"/>
      <c r="I280" s="79" t="str">
        <f t="shared" si="14"/>
        <v/>
      </c>
    </row>
    <row r="281" spans="1:9">
      <c r="A281" s="83"/>
      <c r="B281" s="84"/>
      <c r="C281" s="79" t="str">
        <f t="shared" si="12"/>
        <v/>
      </c>
      <c r="D281" s="83"/>
      <c r="E281" s="84"/>
      <c r="F281" s="79" t="str">
        <f t="shared" si="13"/>
        <v/>
      </c>
      <c r="G281" s="83"/>
      <c r="H281" s="84"/>
      <c r="I281" s="79" t="str">
        <f t="shared" si="14"/>
        <v/>
      </c>
    </row>
    <row r="282" spans="1:9">
      <c r="A282" s="83"/>
      <c r="B282" s="84"/>
      <c r="C282" s="79" t="str">
        <f t="shared" si="12"/>
        <v/>
      </c>
      <c r="D282" s="83"/>
      <c r="E282" s="84"/>
      <c r="F282" s="79" t="str">
        <f t="shared" si="13"/>
        <v/>
      </c>
      <c r="G282" s="83"/>
      <c r="H282" s="84"/>
      <c r="I282" s="79" t="str">
        <f t="shared" si="14"/>
        <v/>
      </c>
    </row>
    <row r="283" spans="1:9">
      <c r="A283" s="83"/>
      <c r="B283" s="84"/>
      <c r="C283" s="79" t="str">
        <f t="shared" si="12"/>
        <v/>
      </c>
      <c r="D283" s="83"/>
      <c r="E283" s="84"/>
      <c r="F283" s="79" t="str">
        <f t="shared" si="13"/>
        <v/>
      </c>
      <c r="G283" s="83"/>
      <c r="H283" s="84"/>
      <c r="I283" s="79" t="str">
        <f t="shared" si="14"/>
        <v/>
      </c>
    </row>
    <row r="284" spans="1:9">
      <c r="A284" s="83"/>
      <c r="B284" s="84"/>
      <c r="C284" s="79" t="str">
        <f t="shared" si="12"/>
        <v/>
      </c>
      <c r="D284" s="83"/>
      <c r="E284" s="84"/>
      <c r="F284" s="79" t="str">
        <f t="shared" si="13"/>
        <v/>
      </c>
      <c r="G284" s="83"/>
      <c r="H284" s="84"/>
      <c r="I284" s="79" t="str">
        <f t="shared" si="14"/>
        <v/>
      </c>
    </row>
    <row r="285" spans="1:9">
      <c r="A285" s="83"/>
      <c r="B285" s="84"/>
      <c r="C285" s="79" t="str">
        <f t="shared" si="12"/>
        <v/>
      </c>
      <c r="D285" s="83"/>
      <c r="E285" s="84"/>
      <c r="F285" s="79" t="str">
        <f t="shared" si="13"/>
        <v/>
      </c>
      <c r="G285" s="83"/>
      <c r="H285" s="84"/>
      <c r="I285" s="79" t="str">
        <f t="shared" si="14"/>
        <v/>
      </c>
    </row>
    <row r="286" spans="1:9">
      <c r="A286" s="83"/>
      <c r="B286" s="84"/>
      <c r="C286" s="79" t="str">
        <f t="shared" si="12"/>
        <v/>
      </c>
      <c r="D286" s="83"/>
      <c r="E286" s="84"/>
      <c r="F286" s="79" t="str">
        <f t="shared" si="13"/>
        <v/>
      </c>
      <c r="G286" s="83"/>
      <c r="H286" s="84"/>
      <c r="I286" s="79" t="str">
        <f t="shared" si="14"/>
        <v/>
      </c>
    </row>
    <row r="287" spans="1:9">
      <c r="A287" s="83"/>
      <c r="B287" s="84"/>
      <c r="C287" s="79" t="str">
        <f t="shared" si="12"/>
        <v/>
      </c>
      <c r="D287" s="83"/>
      <c r="E287" s="84"/>
      <c r="F287" s="79" t="str">
        <f t="shared" si="13"/>
        <v/>
      </c>
      <c r="G287" s="83"/>
      <c r="H287" s="84"/>
      <c r="I287" s="79" t="str">
        <f t="shared" si="14"/>
        <v/>
      </c>
    </row>
    <row r="288" spans="1:9">
      <c r="A288" s="83"/>
      <c r="B288" s="84"/>
      <c r="C288" s="79" t="str">
        <f t="shared" si="12"/>
        <v/>
      </c>
      <c r="D288" s="83"/>
      <c r="E288" s="84"/>
      <c r="F288" s="79" t="str">
        <f t="shared" si="13"/>
        <v/>
      </c>
      <c r="G288" s="83"/>
      <c r="H288" s="84"/>
      <c r="I288" s="79" t="str">
        <f t="shared" si="14"/>
        <v/>
      </c>
    </row>
    <row r="289" spans="1:9">
      <c r="A289" s="83"/>
      <c r="B289" s="84"/>
      <c r="C289" s="79" t="str">
        <f t="shared" si="12"/>
        <v/>
      </c>
      <c r="D289" s="83"/>
      <c r="E289" s="84"/>
      <c r="F289" s="79" t="str">
        <f t="shared" si="13"/>
        <v/>
      </c>
      <c r="G289" s="83"/>
      <c r="H289" s="84"/>
      <c r="I289" s="79" t="str">
        <f t="shared" si="14"/>
        <v/>
      </c>
    </row>
    <row r="290" spans="1:9">
      <c r="A290" s="83"/>
      <c r="B290" s="84"/>
      <c r="C290" s="79" t="str">
        <f t="shared" si="12"/>
        <v/>
      </c>
      <c r="D290" s="83"/>
      <c r="E290" s="84"/>
      <c r="F290" s="79" t="str">
        <f t="shared" si="13"/>
        <v/>
      </c>
      <c r="G290" s="83"/>
      <c r="H290" s="84"/>
      <c r="I290" s="79" t="str">
        <f t="shared" si="14"/>
        <v/>
      </c>
    </row>
    <row r="291" spans="1:9">
      <c r="A291" s="83"/>
      <c r="B291" s="84"/>
      <c r="C291" s="79" t="str">
        <f t="shared" si="12"/>
        <v/>
      </c>
      <c r="D291" s="83"/>
      <c r="E291" s="84"/>
      <c r="F291" s="79" t="str">
        <f t="shared" si="13"/>
        <v/>
      </c>
      <c r="G291" s="83"/>
      <c r="H291" s="84"/>
      <c r="I291" s="79" t="str">
        <f t="shared" si="14"/>
        <v/>
      </c>
    </row>
    <row r="292" spans="1:9">
      <c r="A292" s="83"/>
      <c r="B292" s="84"/>
      <c r="C292" s="79" t="str">
        <f t="shared" si="12"/>
        <v/>
      </c>
      <c r="D292" s="83"/>
      <c r="E292" s="84"/>
      <c r="F292" s="79" t="str">
        <f t="shared" si="13"/>
        <v/>
      </c>
      <c r="G292" s="83"/>
      <c r="H292" s="84"/>
      <c r="I292" s="79" t="str">
        <f t="shared" si="14"/>
        <v/>
      </c>
    </row>
    <row r="293" spans="1:9">
      <c r="A293" s="83"/>
      <c r="B293" s="84"/>
      <c r="C293" s="79" t="str">
        <f t="shared" si="12"/>
        <v/>
      </c>
      <c r="D293" s="83"/>
      <c r="E293" s="84"/>
      <c r="F293" s="79" t="str">
        <f t="shared" si="13"/>
        <v/>
      </c>
      <c r="G293" s="83"/>
      <c r="H293" s="84"/>
      <c r="I293" s="79" t="str">
        <f t="shared" si="14"/>
        <v/>
      </c>
    </row>
    <row r="294" spans="1:9">
      <c r="A294" s="83"/>
      <c r="B294" s="84"/>
      <c r="C294" s="79" t="str">
        <f t="shared" si="12"/>
        <v/>
      </c>
      <c r="D294" s="83"/>
      <c r="E294" s="84"/>
      <c r="F294" s="79" t="str">
        <f t="shared" si="13"/>
        <v/>
      </c>
      <c r="G294" s="83"/>
      <c r="H294" s="84"/>
      <c r="I294" s="79" t="str">
        <f t="shared" si="14"/>
        <v/>
      </c>
    </row>
    <row r="295" spans="1:9">
      <c r="A295" s="83"/>
      <c r="B295" s="84"/>
      <c r="C295" s="79" t="str">
        <f t="shared" si="12"/>
        <v/>
      </c>
      <c r="D295" s="83"/>
      <c r="E295" s="84"/>
      <c r="F295" s="79" t="str">
        <f t="shared" si="13"/>
        <v/>
      </c>
      <c r="G295" s="83"/>
      <c r="H295" s="84"/>
      <c r="I295" s="79" t="str">
        <f t="shared" si="14"/>
        <v/>
      </c>
    </row>
    <row r="296" spans="1:9">
      <c r="A296" s="83"/>
      <c r="B296" s="84"/>
      <c r="C296" s="79" t="str">
        <f t="shared" si="12"/>
        <v/>
      </c>
      <c r="D296" s="83"/>
      <c r="E296" s="84"/>
      <c r="F296" s="79" t="str">
        <f t="shared" si="13"/>
        <v/>
      </c>
      <c r="G296" s="83"/>
      <c r="H296" s="84"/>
      <c r="I296" s="79" t="str">
        <f t="shared" si="14"/>
        <v/>
      </c>
    </row>
    <row r="297" spans="1:9">
      <c r="A297" s="83"/>
      <c r="B297" s="84"/>
      <c r="C297" s="79" t="str">
        <f t="shared" si="12"/>
        <v/>
      </c>
      <c r="D297" s="83"/>
      <c r="E297" s="84"/>
      <c r="F297" s="79" t="str">
        <f t="shared" si="13"/>
        <v/>
      </c>
      <c r="G297" s="83"/>
      <c r="H297" s="84"/>
      <c r="I297" s="79" t="str">
        <f t="shared" si="14"/>
        <v/>
      </c>
    </row>
    <row r="298" spans="1:9">
      <c r="A298" s="83"/>
      <c r="B298" s="84"/>
      <c r="C298" s="79" t="str">
        <f t="shared" si="12"/>
        <v/>
      </c>
      <c r="D298" s="83"/>
      <c r="E298" s="84"/>
      <c r="F298" s="79" t="str">
        <f t="shared" si="13"/>
        <v/>
      </c>
      <c r="G298" s="83"/>
      <c r="H298" s="84"/>
      <c r="I298" s="79" t="str">
        <f t="shared" si="14"/>
        <v/>
      </c>
    </row>
    <row r="299" spans="1:9">
      <c r="A299" s="83"/>
      <c r="B299" s="84"/>
      <c r="C299" s="79" t="str">
        <f t="shared" si="12"/>
        <v/>
      </c>
      <c r="D299" s="83"/>
      <c r="E299" s="84"/>
      <c r="F299" s="79" t="str">
        <f t="shared" si="13"/>
        <v/>
      </c>
      <c r="G299" s="83"/>
      <c r="H299" s="84"/>
      <c r="I299" s="79" t="str">
        <f t="shared" si="14"/>
        <v/>
      </c>
    </row>
    <row r="300" spans="1:9">
      <c r="A300" s="83"/>
      <c r="B300" s="84"/>
      <c r="C300" s="79" t="str">
        <f t="shared" si="12"/>
        <v/>
      </c>
      <c r="D300" s="83"/>
      <c r="E300" s="84"/>
      <c r="F300" s="79" t="str">
        <f t="shared" si="13"/>
        <v/>
      </c>
      <c r="G300" s="83"/>
      <c r="H300" s="84"/>
      <c r="I300" s="79" t="str">
        <f t="shared" si="14"/>
        <v/>
      </c>
    </row>
    <row r="301" spans="1:9">
      <c r="A301" s="83"/>
      <c r="B301" s="84"/>
      <c r="C301" s="79" t="str">
        <f t="shared" si="12"/>
        <v/>
      </c>
      <c r="D301" s="83"/>
      <c r="E301" s="84"/>
      <c r="F301" s="79" t="str">
        <f t="shared" si="13"/>
        <v/>
      </c>
      <c r="G301" s="83"/>
      <c r="H301" s="84"/>
      <c r="I301" s="79" t="str">
        <f t="shared" si="14"/>
        <v/>
      </c>
    </row>
    <row r="302" spans="1:9">
      <c r="A302" s="83"/>
      <c r="B302" s="86"/>
      <c r="C302" s="79" t="str">
        <f t="shared" si="12"/>
        <v/>
      </c>
      <c r="D302" s="83"/>
      <c r="E302" s="86"/>
      <c r="F302" s="79" t="str">
        <f t="shared" si="13"/>
        <v/>
      </c>
      <c r="G302" s="83"/>
      <c r="H302" s="86"/>
      <c r="I302" s="79" t="str">
        <f t="shared" si="14"/>
        <v/>
      </c>
    </row>
    <row r="303" spans="1:9">
      <c r="A303" s="83"/>
      <c r="B303" s="86"/>
      <c r="C303" s="79" t="str">
        <f t="shared" si="12"/>
        <v/>
      </c>
      <c r="D303" s="83"/>
      <c r="E303" s="86"/>
      <c r="F303" s="79" t="str">
        <f t="shared" si="13"/>
        <v/>
      </c>
      <c r="G303" s="83"/>
      <c r="H303" s="86"/>
      <c r="I303" s="79" t="str">
        <f t="shared" si="14"/>
        <v/>
      </c>
    </row>
    <row r="304" spans="1:9">
      <c r="A304" s="83"/>
      <c r="B304" s="86"/>
      <c r="C304" s="79" t="str">
        <f t="shared" si="12"/>
        <v/>
      </c>
      <c r="D304" s="83"/>
      <c r="E304" s="86"/>
      <c r="F304" s="79" t="str">
        <f t="shared" si="13"/>
        <v/>
      </c>
      <c r="G304" s="83"/>
      <c r="H304" s="86"/>
      <c r="I304" s="79" t="str">
        <f t="shared" si="14"/>
        <v/>
      </c>
    </row>
    <row r="305" spans="1:7">
      <c r="A305" s="79" t="s">
        <v>1182</v>
      </c>
      <c r="D305" s="79" t="s">
        <v>1182</v>
      </c>
      <c r="G305" s="79" t="s">
        <v>1182</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Windows 사용자</dc:creator>
  <cp:keywords/>
  <dc:description/>
  <cp:lastModifiedBy>원용 이</cp:lastModifiedBy>
  <cp:revision/>
  <dcterms:created xsi:type="dcterms:W3CDTF">2018-02-18T09:45:14Z</dcterms:created>
  <dcterms:modified xsi:type="dcterms:W3CDTF">2022-10-23T11:59:44Z</dcterms:modified>
  <cp:category/>
  <cp:contentStatus/>
</cp:coreProperties>
</file>